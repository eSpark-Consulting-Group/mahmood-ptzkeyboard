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Faizan\GitHub\Mahmood-PTZKeyboard\Design-Files\Stepper_Breakout\Project Outputs for Stepper_Breakout\"/>
    </mc:Choice>
  </mc:AlternateContent>
  <bookViews>
    <workbookView xWindow="-120" yWindow="-120" windowWidth="29040" windowHeight="15840"/>
  </bookViews>
  <sheets>
    <sheet name="Sheet1" sheetId="1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44" i="1" l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 l="1"/>
  <c r="B10" i="1"/>
</calcChain>
</file>

<file path=xl/sharedStrings.xml><?xml version="1.0" encoding="utf-8"?>
<sst xmlns="http://schemas.openxmlformats.org/spreadsheetml/2006/main" count="502" uniqueCount="184">
  <si>
    <t>Component list</t>
  </si>
  <si>
    <t>Source Data From:</t>
  </si>
  <si>
    <t>Project:</t>
  </si>
  <si>
    <t>Variant:</t>
  </si>
  <si>
    <t>#</t>
  </si>
  <si>
    <t>Approved</t>
  </si>
  <si>
    <t>Notes</t>
  </si>
  <si>
    <t>Bill of Materials for Project [Stepper_Breakout.PrjPcb] (No PCB Document Selected)</t>
  </si>
  <si>
    <t>Stepper_Breakout.PrjPcb</t>
  </si>
  <si>
    <t>None</t>
  </si>
  <si>
    <t>#Column Name Error:' Item Type</t>
  </si>
  <si>
    <t>Designator</t>
  </si>
  <si>
    <t>C1, C2, C3, C4, C5, C6, C9, C11, C12, C13, C17, C21, C22, C23, C25, C39, C40, C41, C42, C44, C45</t>
  </si>
  <si>
    <t>C7, C10</t>
  </si>
  <si>
    <t>C8, C27, C47, C48</t>
  </si>
  <si>
    <t>C14, C15, C16</t>
  </si>
  <si>
    <t>C18, C19, C20, C32, C33, C34, C35, C36, C37, C38</t>
  </si>
  <si>
    <t>C24, C30, C31</t>
  </si>
  <si>
    <t>C26</t>
  </si>
  <si>
    <t>C28, C29</t>
  </si>
  <si>
    <t>C43, C46</t>
  </si>
  <si>
    <t>C49, C50, C51</t>
  </si>
  <si>
    <t>FB1</t>
  </si>
  <si>
    <t>LED1</t>
  </si>
  <si>
    <t>LED2</t>
  </si>
  <si>
    <t>P1, P8</t>
  </si>
  <si>
    <t>P2</t>
  </si>
  <si>
    <t>P3, P5</t>
  </si>
  <si>
    <t>P4, P6</t>
  </si>
  <si>
    <t>P7</t>
  </si>
  <si>
    <t>Q1, Q2, Q3</t>
  </si>
  <si>
    <t>R1, R2, R3, R4, R5, R6, R7, R9, R11, R13, R14, R26, R27</t>
  </si>
  <si>
    <t>R8, R10, R12, R29, R30, R31</t>
  </si>
  <si>
    <t>R15, R16, R17, R18, R21, R22, R23</t>
  </si>
  <si>
    <t>R19, R20</t>
  </si>
  <si>
    <t>R24</t>
  </si>
  <si>
    <t>R25</t>
  </si>
  <si>
    <t>R28</t>
  </si>
  <si>
    <t>R32, R33, R35, R36, R37, R38</t>
  </si>
  <si>
    <t>R34, R39</t>
  </si>
  <si>
    <t>RT1</t>
  </si>
  <si>
    <t>SB1, SB2, SB3</t>
  </si>
  <si>
    <t>U1</t>
  </si>
  <si>
    <t>U2, U3</t>
  </si>
  <si>
    <t>U4</t>
  </si>
  <si>
    <t>U5, U6</t>
  </si>
  <si>
    <t>X1</t>
  </si>
  <si>
    <t>Description</t>
  </si>
  <si>
    <t>CAP CER 0.1UF 50V X7R 0402</t>
  </si>
  <si>
    <t>CAP CER 4.7UF 16V X5R 0603</t>
  </si>
  <si>
    <t>CAP CER 0.47uF 50V X7R 0603</t>
  </si>
  <si>
    <t>CAP CER 1nF 100V X7R 0603</t>
  </si>
  <si>
    <t>CAP CER 100PF 50V C0G/NP0 0603</t>
  </si>
  <si>
    <t>CAP CER 0.1UF 100V X7R 0603</t>
  </si>
  <si>
    <t>CAP CER 22nF 100V X7R 0603</t>
  </si>
  <si>
    <t>CAP CER 2.2UF 16V X5R 0603</t>
  </si>
  <si>
    <t>CAP CER 2200PF 50V X7R 0603</t>
  </si>
  <si>
    <t>CAP CER 2.2UF 100V X7T 0805</t>
  </si>
  <si>
    <t>Ferrite Beads WE-CBF 0603 SMD Bead 100MHz 600Ohm 1000mA</t>
  </si>
  <si>
    <t>blue 0603 Light Emitting Diodes (LED) ROHS</t>
  </si>
  <si>
    <t>Red 625nm 0402 Light Emitting Diodes (LED) RoHS</t>
  </si>
  <si>
    <t>CONN HEADER VERT 3POS 2.54MM</t>
  </si>
  <si>
    <t>CONN HEADER VERT 5POS 2.54MM</t>
  </si>
  <si>
    <t>CONN HEADER VERT 7POS 2.54MM</t>
  </si>
  <si>
    <t>CONN HEADER VERT 4POS 2.54MM</t>
  </si>
  <si>
    <t>CONN HEADER VERT 10POS 2.54MM</t>
  </si>
  <si>
    <t>MOSFET 2N-CH 60V 15A 12POWER</t>
  </si>
  <si>
    <t>RES SMD 4.7K OHM 1% 1/10W 0603</t>
  </si>
  <si>
    <t>RES SMD 1K OHM 1% 1/10W 0603</t>
  </si>
  <si>
    <t>270Ω 0603 Chip Resistor - Surface Mount ROHS</t>
  </si>
  <si>
    <t>RES SMD 150OHM 1/10W 0603</t>
  </si>
  <si>
    <t>RES SMD 100 OHM 5% 1/16W 0402</t>
  </si>
  <si>
    <t>RES SMD 220 OHM 1% 1/10W 0603</t>
  </si>
  <si>
    <t>RES SMD 47K OHM 5% 1/10W 0603</t>
  </si>
  <si>
    <t>RES SMD 10 OHM 1% 1/10W 0603</t>
  </si>
  <si>
    <t>RES 0.003 OHM 1% 3W 2512</t>
  </si>
  <si>
    <t>THERMISTOR NTC 10KOHM 3380K 0603</t>
  </si>
  <si>
    <t>Solder Bridge ON</t>
  </si>
  <si>
    <t>SERVO CONTROLLER IC, QFN76</t>
  </si>
  <si>
    <t>IC BUFF SCHMT TRG TRPL 8VSSOP</t>
  </si>
  <si>
    <t>GATE DRIVER IC 8-60V QFN37</t>
  </si>
  <si>
    <t>IC CURRENT SENSE 1 CIRCUIT 8SOIC</t>
  </si>
  <si>
    <t>1.62V~3.63V -40℃~+85℃ 10mA ±20ppm CMOS 25MHz SMD3225-4P Oscillators ROHS</t>
  </si>
  <si>
    <t>Footprint</t>
  </si>
  <si>
    <t>Cap0402</t>
  </si>
  <si>
    <t>Cap0603</t>
  </si>
  <si>
    <t>Cap0805</t>
  </si>
  <si>
    <t>IND 0603</t>
  </si>
  <si>
    <t>LED 0603</t>
  </si>
  <si>
    <t>LED 0402</t>
  </si>
  <si>
    <t>HDR1X3</t>
  </si>
  <si>
    <t>HDR1X5</t>
  </si>
  <si>
    <t>HDR1X7</t>
  </si>
  <si>
    <t>HDR1X4</t>
  </si>
  <si>
    <t>HDR2X5</t>
  </si>
  <si>
    <t>Res0603</t>
  </si>
  <si>
    <t>Res0402</t>
  </si>
  <si>
    <t>RES 2512</t>
  </si>
  <si>
    <t>Solder Bridge</t>
  </si>
  <si>
    <t>76-QFN (10.5x6.5)</t>
  </si>
  <si>
    <t>8-VSSOP</t>
  </si>
  <si>
    <t>37-QFN-EP (7x7)</t>
  </si>
  <si>
    <t>SOIC-8</t>
  </si>
  <si>
    <t>SX3M25.000M20F30TNN</t>
  </si>
  <si>
    <t>Manufacturer Part Number</t>
  </si>
  <si>
    <t>CL05B104KB54PNC</t>
  </si>
  <si>
    <t>GRM188R61C475KAAJD</t>
  </si>
  <si>
    <t>UMK107B7474KA-TR</t>
  </si>
  <si>
    <t>CL10B102KC8NNNC</t>
  </si>
  <si>
    <t>GRM1885C1H101JA01D</t>
  </si>
  <si>
    <t>CC0603KRX7R0BB104</t>
  </si>
  <si>
    <t>C0603C223K1RACTU</t>
  </si>
  <si>
    <t>CL10A225KO8NNNC</t>
  </si>
  <si>
    <t>CC0603KRX7R9BB222</t>
  </si>
  <si>
    <t>GRM21BD72A225KE01L</t>
  </si>
  <si>
    <t>D-060306B1</t>
  </si>
  <si>
    <t>67997-410HLF</t>
  </si>
  <si>
    <t>FDMD8260L</t>
  </si>
  <si>
    <t>RC0603FR-074K7L</t>
  </si>
  <si>
    <t>RC0603FR-071KL</t>
  </si>
  <si>
    <t>ARG03FTC2700</t>
  </si>
  <si>
    <t>RC0603FR-07150RL</t>
  </si>
  <si>
    <t>RC0402JR-07100RL</t>
  </si>
  <si>
    <t>RC0603FR-07220RL</t>
  </si>
  <si>
    <t>RC0603JR-0747KL</t>
  </si>
  <si>
    <t>RC0603FR-0710RL</t>
  </si>
  <si>
    <t>CRE2512-FZ-R003E-3</t>
  </si>
  <si>
    <t>NCP18XH103F03RB</t>
  </si>
  <si>
    <t>TMC4671-LA</t>
  </si>
  <si>
    <t>74LVC3G17DC125</t>
  </si>
  <si>
    <t>TMC6100-LA</t>
  </si>
  <si>
    <t>AD8418WBRZ-RL</t>
  </si>
  <si>
    <t>Manufacturer</t>
  </si>
  <si>
    <t>Samsung</t>
  </si>
  <si>
    <t>Murata</t>
  </si>
  <si>
    <t>Taiyo Yuden</t>
  </si>
  <si>
    <t>Yageo</t>
  </si>
  <si>
    <t>KEMET</t>
  </si>
  <si>
    <t>Wurth Electronics</t>
  </si>
  <si>
    <t>ARKLED</t>
  </si>
  <si>
    <t>TOGIALED</t>
  </si>
  <si>
    <t>Amphenol FCI</t>
  </si>
  <si>
    <t>ON Semiconductor / Fairchild</t>
  </si>
  <si>
    <t>Viking Tech</t>
  </si>
  <si>
    <t>Bourns</t>
  </si>
  <si>
    <t>Trinamic</t>
  </si>
  <si>
    <t>NXP Semiconductors</t>
  </si>
  <si>
    <t>Analog Devices</t>
  </si>
  <si>
    <t>SCTF Elec</t>
  </si>
  <si>
    <t>0.1UF</t>
  </si>
  <si>
    <t>4.7uF</t>
  </si>
  <si>
    <t>0.47uF</t>
  </si>
  <si>
    <t>1nF</t>
  </si>
  <si>
    <t>100pF</t>
  </si>
  <si>
    <t>0.1uF/100V</t>
  </si>
  <si>
    <t>22nF</t>
  </si>
  <si>
    <t>2.2uF</t>
  </si>
  <si>
    <t>2.2nF</t>
  </si>
  <si>
    <t>TJ-S1005SW4TGLC2R-A5</t>
  </si>
  <si>
    <t>4.7K</t>
  </si>
  <si>
    <t>1K</t>
  </si>
  <si>
    <t>270R</t>
  </si>
  <si>
    <t>150R</t>
  </si>
  <si>
    <t>100R</t>
  </si>
  <si>
    <t>220R</t>
  </si>
  <si>
    <t>47K</t>
  </si>
  <si>
    <t>10R</t>
  </si>
  <si>
    <t>0.003R</t>
  </si>
  <si>
    <t>10K</t>
  </si>
  <si>
    <t>74LVC3G17DC,125</t>
  </si>
  <si>
    <t>25MHz</t>
  </si>
  <si>
    <t>Quantity</t>
  </si>
  <si>
    <t>Value</t>
  </si>
  <si>
    <t>Remarks (Designer)</t>
  </si>
  <si>
    <t>Remarks (Client)</t>
  </si>
  <si>
    <t>Custom</t>
  </si>
  <si>
    <t>Capacitor</t>
  </si>
  <si>
    <t>Ferrite Bead</t>
  </si>
  <si>
    <t>LED</t>
  </si>
  <si>
    <t>Header</t>
  </si>
  <si>
    <t>Transistor</t>
  </si>
  <si>
    <t>Resistor</t>
  </si>
  <si>
    <t>IC</t>
  </si>
  <si>
    <t>Crystal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</si>
</sst>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h:mm:ss\ AM/PM;@"/>
  </numFmts>
  <fonts count="18" x14ac:knownFonts="1">
    <font>
      <sz val="11"/>
      <color theme="1"/>
      <name val="Calibri"/>
      <family val="2"/>
      <scheme val="minor"/>
    </font>
    <font>
      <sz val="10"/>
      <color indexed="13"/>
      <name val="Arial"/>
    </font>
    <font>
      <b/>
      <sz val="24"/>
      <color indexed="10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12"/>
      <color theme="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9"/>
      <color theme="0"/>
      <name val="Arial"/>
      <family val="2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</fills>
  <borders count="20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2" borderId="0" xfId="0" applyFont="1" applyFill="1" applyBorder="1" applyAlignment="1"/>
    <xf numFmtId="0" fontId="1" fillId="2" borderId="1" xfId="0" applyFont="1" applyFill="1" applyBorder="1" applyAlignment="1"/>
    <xf numFmtId="0" fontId="6" fillId="3" borderId="11" xfId="0" applyFont="1" applyFill="1" applyBorder="1" applyAlignment="1">
      <alignment vertical="center"/>
    </xf>
    <xf numFmtId="0" fontId="7" fillId="3" borderId="0" xfId="0" applyFont="1" applyFill="1" applyBorder="1" applyAlignment="1"/>
    <xf numFmtId="0" fontId="8" fillId="3" borderId="5" xfId="0" applyFont="1" applyFill="1" applyBorder="1" applyAlignment="1"/>
    <xf numFmtId="0" fontId="8" fillId="3" borderId="6" xfId="0" applyFont="1" applyFill="1" applyBorder="1" applyAlignment="1"/>
    <xf numFmtId="0" fontId="9" fillId="3" borderId="0" xfId="0" applyFont="1" applyFill="1" applyBorder="1" applyAlignment="1"/>
    <xf numFmtId="0" fontId="10" fillId="3" borderId="3" xfId="0" applyNumberFormat="1" applyFont="1" applyFill="1" applyBorder="1" applyAlignment="1" applyProtection="1">
      <alignment horizontal="left" vertical="top"/>
      <protection locked="0"/>
    </xf>
    <xf numFmtId="0" fontId="11" fillId="3" borderId="3" xfId="0" applyNumberFormat="1" applyFont="1" applyFill="1" applyBorder="1" applyAlignment="1" applyProtection="1">
      <alignment horizontal="left" vertical="top"/>
      <protection locked="0"/>
    </xf>
    <xf numFmtId="0" fontId="13" fillId="3" borderId="10" xfId="0" applyFont="1" applyFill="1" applyBorder="1" applyAlignment="1">
      <alignment vertical="center"/>
    </xf>
    <xf numFmtId="0" fontId="14" fillId="3" borderId="11" xfId="0" applyFont="1" applyFill="1" applyBorder="1" applyAlignment="1">
      <alignment vertical="center"/>
    </xf>
    <xf numFmtId="0" fontId="10" fillId="3" borderId="0" xfId="0" applyFont="1" applyFill="1" applyBorder="1" applyAlignment="1"/>
    <xf numFmtId="0" fontId="12" fillId="3" borderId="6" xfId="0" applyFont="1" applyFill="1" applyBorder="1" applyAlignment="1"/>
    <xf numFmtId="0" fontId="12" fillId="3" borderId="5" xfId="0" applyFont="1" applyFill="1" applyBorder="1" applyAlignment="1"/>
    <xf numFmtId="0" fontId="10" fillId="3" borderId="5" xfId="0" applyFont="1" applyFill="1" applyBorder="1" applyAlignment="1"/>
    <xf numFmtId="0" fontId="12" fillId="3" borderId="5" xfId="0" applyFont="1" applyFill="1" applyBorder="1" applyAlignment="1">
      <alignment horizontal="left"/>
    </xf>
    <xf numFmtId="0" fontId="15" fillId="3" borderId="0" xfId="0" applyFont="1" applyFill="1" applyBorder="1" applyAlignment="1"/>
    <xf numFmtId="0" fontId="12" fillId="3" borderId="1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12" fillId="3" borderId="13" xfId="0" applyNumberFormat="1" applyFont="1" applyFill="1" applyBorder="1" applyAlignment="1" applyProtection="1">
      <alignment horizontal="center" vertical="top"/>
      <protection locked="0"/>
    </xf>
    <xf numFmtId="0" fontId="0" fillId="0" borderId="0" xfId="0" applyAlignment="1">
      <alignment horizontal="center"/>
    </xf>
    <xf numFmtId="0" fontId="4" fillId="3" borderId="7" xfId="0" applyFont="1" applyFill="1" applyBorder="1" applyAlignment="1">
      <alignment horizontal="center"/>
    </xf>
    <xf numFmtId="0" fontId="12" fillId="3" borderId="0" xfId="0" applyFont="1" applyFill="1" applyBorder="1" applyAlignment="1"/>
    <xf numFmtId="164" fontId="12" fillId="3" borderId="0" xfId="0" applyNumberFormat="1" applyFont="1" applyFill="1" applyBorder="1" applyAlignment="1">
      <alignment horizontal="left"/>
    </xf>
    <xf numFmtId="0" fontId="16" fillId="5" borderId="14" xfId="0" applyFont="1" applyFill="1" applyBorder="1" applyAlignment="1">
      <alignment horizontal="center" vertical="center"/>
    </xf>
    <xf numFmtId="0" fontId="16" fillId="5" borderId="11" xfId="0" applyFont="1" applyFill="1" applyBorder="1" applyAlignment="1">
      <alignment horizontal="center" vertical="center"/>
    </xf>
    <xf numFmtId="0" fontId="10" fillId="3" borderId="9" xfId="0" applyNumberFormat="1" applyFont="1" applyFill="1" applyBorder="1" applyAlignment="1" applyProtection="1">
      <alignment horizontal="center" vertical="center"/>
      <protection locked="0"/>
    </xf>
    <xf numFmtId="0" fontId="10" fillId="3" borderId="10" xfId="0" applyNumberFormat="1" applyFont="1" applyFill="1" applyBorder="1" applyAlignment="1" applyProtection="1">
      <alignment vertical="center"/>
      <protection locked="0"/>
    </xf>
    <xf numFmtId="0" fontId="11" fillId="3" borderId="10" xfId="0" applyNumberFormat="1" applyFont="1" applyFill="1" applyBorder="1" applyAlignment="1" applyProtection="1">
      <alignment horizontal="left" vertical="center"/>
      <protection locked="0"/>
    </xf>
    <xf numFmtId="0" fontId="0" fillId="3" borderId="10" xfId="0" applyFont="1" applyFill="1" applyBorder="1" applyAlignment="1">
      <alignment vertical="center"/>
    </xf>
    <xf numFmtId="0" fontId="0" fillId="3" borderId="10" xfId="0" applyFont="1" applyFill="1" applyBorder="1"/>
    <xf numFmtId="0" fontId="17" fillId="2" borderId="15" xfId="0" applyFont="1" applyFill="1" applyBorder="1" applyAlignment="1">
      <alignment horizontal="center" vertical="center" wrapText="1"/>
    </xf>
    <xf numFmtId="0" fontId="17" fillId="2" borderId="5" xfId="0" applyFont="1" applyFill="1" applyBorder="1" applyAlignment="1">
      <alignment horizontal="center" vertical="center" wrapText="1"/>
    </xf>
    <xf numFmtId="0" fontId="17" fillId="4" borderId="16" xfId="0" applyFont="1" applyFill="1" applyBorder="1" applyAlignment="1">
      <alignment horizontal="center" vertical="center" wrapText="1"/>
    </xf>
    <xf numFmtId="0" fontId="17" fillId="4" borderId="6" xfId="0" applyFont="1" applyFill="1" applyBorder="1" applyAlignment="1">
      <alignment horizontal="center" vertical="center" wrapText="1"/>
    </xf>
    <xf numFmtId="0" fontId="17" fillId="2" borderId="17" xfId="0" applyFont="1" applyFill="1" applyBorder="1" applyAlignment="1">
      <alignment horizontal="center" vertical="center" wrapText="1"/>
    </xf>
    <xf numFmtId="0" fontId="17" fillId="4" borderId="18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vertical="center"/>
    </xf>
    <xf numFmtId="0" fontId="0" fillId="3" borderId="8" xfId="0" applyFont="1" applyFill="1" applyBorder="1"/>
    <xf numFmtId="0" fontId="11" fillId="3" borderId="19" xfId="0" applyNumberFormat="1" applyFont="1" applyFill="1" applyBorder="1" applyAlignment="1" applyProtection="1">
      <alignment horizontal="left" vertical="top"/>
      <protection locked="0"/>
    </xf>
    <xf numFmtId="0" fontId="2" fillId="3" borderId="10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5" fillId="3" borderId="0" xfId="0" applyFont="1" applyFill="1" applyBorder="1" applyAlignment="1">
      <alignment horizontal="center"/>
    </xf>
    <xf numFmtId="0" fontId="4" fillId="3" borderId="0" xfId="0" applyFont="1" applyFill="1" applyBorder="1" applyAlignment="1">
      <alignment horizontal="center"/>
    </xf>
    <xf numFmtId="0" fontId="10" fillId="3" borderId="10" xfId="0" applyNumberFormat="1" applyFont="1" applyFill="1" applyBorder="1" applyAlignment="1" applyProtection="1">
      <alignment horizontal="center" vertical="center"/>
      <protection locked="0"/>
    </xf>
    <xf numFmtId="0" fontId="12" fillId="3" borderId="3" xfId="0" applyNumberFormat="1" applyFont="1" applyFill="1" applyBorder="1" applyAlignment="1" applyProtection="1">
      <alignment horizontal="center" vertical="top"/>
      <protection locked="0"/>
    </xf>
    <xf numFmtId="0" fontId="10" fillId="5" borderId="14" xfId="0" applyFont="1" applyFill="1" applyBorder="1" applyAlignment="1">
      <alignment horizontal="center" vertical="center" wrapText="1"/>
    </xf>
    <xf numFmtId="0" fontId="14" fillId="3" borderId="11" xfId="0" quotePrefix="1" applyFont="1" applyFill="1" applyBorder="1" applyAlignment="1">
      <alignment vertical="center"/>
    </xf>
    <xf numFmtId="0" fontId="10" fillId="3" borderId="0" xfId="0" quotePrefix="1" applyFont="1" applyFill="1" applyBorder="1" applyAlignment="1">
      <alignment horizontal="left"/>
    </xf>
    <xf numFmtId="0" fontId="10" fillId="3" borderId="6" xfId="0" quotePrefix="1" applyFont="1" applyFill="1" applyBorder="1" applyAlignment="1">
      <alignment horizontal="left"/>
    </xf>
    <xf numFmtId="0" fontId="10" fillId="3" borderId="5" xfId="0" quotePrefix="1" applyFont="1" applyFill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9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47625</xdr:colOff>
      <xdr:row>2</xdr:row>
      <xdr:rowOff>19942</xdr:rowOff>
    </xdr:from>
    <xdr:to>
      <xdr:col>11</xdr:col>
      <xdr:colOff>1905000</xdr:colOff>
      <xdr:row>7</xdr:row>
      <xdr:rowOff>171450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0059650" y="629542"/>
          <a:ext cx="1857375" cy="11040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46"/>
  <sheetViews>
    <sheetView tabSelected="1" workbookViewId="0">
      <selection activeCell="C45" sqref="C45"/>
    </sheetView>
  </sheetViews>
  <sheetFormatPr defaultRowHeight="15" x14ac:dyDescent="0.25"/>
  <cols>
    <col min="2" max="2" width="3.140625" style="25" customWidth="1"/>
    <col min="3" max="3" width="18.7109375" style="25" bestFit="1" customWidth="1"/>
    <col min="4" max="4" width="36" bestFit="1" customWidth="1"/>
    <col min="5" max="5" width="30" customWidth="1"/>
    <col min="6" max="6" width="26.5703125" bestFit="1" customWidth="1"/>
    <col min="7" max="7" width="33.42578125" bestFit="1" customWidth="1"/>
    <col min="8" max="8" width="21.42578125" bestFit="1" customWidth="1"/>
    <col min="9" max="9" width="17.85546875" bestFit="1" customWidth="1"/>
    <col min="10" max="10" width="16.7109375" bestFit="1" customWidth="1"/>
    <col min="11" max="12" width="29.42578125" customWidth="1"/>
  </cols>
  <sheetData>
    <row r="1" spans="1:12" ht="15.75" thickBot="1" x14ac:dyDescent="0.3">
      <c r="A1" s="1"/>
      <c r="B1" s="19"/>
      <c r="C1" s="19"/>
      <c r="D1" s="2"/>
      <c r="E1" s="2"/>
      <c r="F1" s="2"/>
      <c r="G1" s="2"/>
      <c r="H1" s="2"/>
      <c r="I1" s="57"/>
      <c r="J1" s="57"/>
      <c r="K1" s="57"/>
      <c r="L1" s="57"/>
    </row>
    <row r="2" spans="1:12" ht="32.25" thickBot="1" x14ac:dyDescent="0.3">
      <c r="A2" s="1"/>
      <c r="B2" s="20"/>
      <c r="C2" s="45"/>
      <c r="D2" s="10" t="s">
        <v>0</v>
      </c>
      <c r="E2" s="10"/>
      <c r="F2" s="53" t="s">
        <v>7</v>
      </c>
      <c r="G2" s="11"/>
      <c r="H2" s="3"/>
      <c r="I2" s="3"/>
      <c r="J2" s="3"/>
      <c r="K2" s="3"/>
      <c r="L2" s="42"/>
    </row>
    <row r="3" spans="1:12" x14ac:dyDescent="0.25">
      <c r="A3" s="1"/>
      <c r="B3" s="21"/>
      <c r="C3" s="46"/>
      <c r="D3" s="12" t="s">
        <v>1</v>
      </c>
      <c r="E3" s="12"/>
      <c r="F3" s="54" t="s">
        <v>8</v>
      </c>
      <c r="G3" s="12"/>
      <c r="H3" s="4"/>
      <c r="I3" s="4"/>
      <c r="J3" s="4"/>
      <c r="K3" s="4"/>
      <c r="L3" s="58"/>
    </row>
    <row r="4" spans="1:12" x14ac:dyDescent="0.25">
      <c r="A4" s="1"/>
      <c r="B4" s="21"/>
      <c r="C4" s="46"/>
      <c r="D4" s="12" t="s">
        <v>2</v>
      </c>
      <c r="E4" s="12"/>
      <c r="F4" s="55" t="s">
        <v>8</v>
      </c>
      <c r="G4" s="13"/>
      <c r="H4" s="6"/>
      <c r="I4" s="6"/>
      <c r="J4" s="6"/>
      <c r="K4" s="6"/>
      <c r="L4" s="59"/>
    </row>
    <row r="5" spans="1:12" x14ac:dyDescent="0.25">
      <c r="A5" s="1"/>
      <c r="B5" s="21"/>
      <c r="C5" s="46"/>
      <c r="D5" s="12" t="s">
        <v>3</v>
      </c>
      <c r="E5" s="12"/>
      <c r="F5" s="56" t="s">
        <v>9</v>
      </c>
      <c r="G5" s="14"/>
      <c r="H5" s="5"/>
      <c r="I5" s="5"/>
      <c r="J5" s="5"/>
      <c r="K5" s="5"/>
      <c r="L5" s="59"/>
    </row>
    <row r="6" spans="1:12" x14ac:dyDescent="0.25">
      <c r="A6" s="1"/>
      <c r="B6" s="22"/>
      <c r="C6" s="47"/>
      <c r="D6" s="15"/>
      <c r="E6" s="15"/>
      <c r="F6" s="16"/>
      <c r="G6" s="14"/>
      <c r="H6" s="5"/>
      <c r="I6" s="5"/>
      <c r="J6" s="5"/>
      <c r="K6" s="5"/>
      <c r="L6" s="59"/>
    </row>
    <row r="7" spans="1:12" x14ac:dyDescent="0.25">
      <c r="A7" s="1"/>
      <c r="B7" s="23"/>
      <c r="C7" s="48"/>
      <c r="D7" s="17"/>
      <c r="E7" s="17"/>
      <c r="F7" s="18"/>
      <c r="G7" s="17"/>
      <c r="H7" s="7"/>
      <c r="I7" s="7"/>
      <c r="J7" s="7"/>
      <c r="K7" s="7"/>
      <c r="L7" s="59"/>
    </row>
    <row r="8" spans="1:12" ht="15.75" thickBot="1" x14ac:dyDescent="0.3">
      <c r="A8" s="1"/>
      <c r="B8" s="26"/>
      <c r="C8" s="49"/>
      <c r="D8" s="27"/>
      <c r="E8" s="27"/>
      <c r="F8" s="28"/>
      <c r="G8" s="17"/>
      <c r="H8" s="7"/>
      <c r="I8" s="7"/>
      <c r="J8" s="7"/>
      <c r="K8" s="7"/>
      <c r="L8" s="60"/>
    </row>
    <row r="9" spans="1:12" ht="15.75" thickBot="1" x14ac:dyDescent="0.3">
      <c r="A9" s="1"/>
      <c r="B9" s="29" t="s">
        <v>4</v>
      </c>
      <c r="C9" s="29" t="s">
        <v>10</v>
      </c>
      <c r="D9" s="29" t="s">
        <v>11</v>
      </c>
      <c r="E9" s="30" t="s">
        <v>47</v>
      </c>
      <c r="F9" s="29" t="s">
        <v>83</v>
      </c>
      <c r="G9" s="30" t="s">
        <v>104</v>
      </c>
      <c r="H9" s="29" t="s">
        <v>132</v>
      </c>
      <c r="I9" s="30" t="s">
        <v>172</v>
      </c>
      <c r="J9" s="29" t="s">
        <v>171</v>
      </c>
      <c r="K9" s="29" t="s">
        <v>173</v>
      </c>
      <c r="L9" s="29" t="s">
        <v>174</v>
      </c>
    </row>
    <row r="10" spans="1:12" ht="24.75" thickBot="1" x14ac:dyDescent="0.3">
      <c r="A10" s="1"/>
      <c r="B10" s="52">
        <f>ROW(B10) - ROW($B$9)</f>
        <v>1</v>
      </c>
      <c r="C10" s="36" t="s">
        <v>176</v>
      </c>
      <c r="D10" s="36" t="s">
        <v>12</v>
      </c>
      <c r="E10" s="37" t="s">
        <v>48</v>
      </c>
      <c r="F10" s="36" t="s">
        <v>84</v>
      </c>
      <c r="G10" s="37" t="s">
        <v>105</v>
      </c>
      <c r="H10" s="36" t="s">
        <v>133</v>
      </c>
      <c r="I10" s="37" t="s">
        <v>149</v>
      </c>
      <c r="J10" s="36">
        <v>21</v>
      </c>
      <c r="K10" s="36"/>
      <c r="L10" s="40"/>
    </row>
    <row r="11" spans="1:12" ht="15.75" thickBot="1" x14ac:dyDescent="0.3">
      <c r="A11" s="1"/>
      <c r="B11" s="52">
        <f t="shared" ref="B11:B43" si="0">ROW(B11) - ROW($B$9)</f>
        <v>2</v>
      </c>
      <c r="C11" s="38" t="s">
        <v>176</v>
      </c>
      <c r="D11" s="38" t="s">
        <v>13</v>
      </c>
      <c r="E11" s="39" t="s">
        <v>49</v>
      </c>
      <c r="F11" s="38" t="s">
        <v>85</v>
      </c>
      <c r="G11" s="39" t="s">
        <v>106</v>
      </c>
      <c r="H11" s="38" t="s">
        <v>134</v>
      </c>
      <c r="I11" s="39" t="s">
        <v>150</v>
      </c>
      <c r="J11" s="38">
        <v>2</v>
      </c>
      <c r="K11" s="38"/>
      <c r="L11" s="41"/>
    </row>
    <row r="12" spans="1:12" ht="15.75" thickBot="1" x14ac:dyDescent="0.3">
      <c r="A12" s="1"/>
      <c r="B12" s="52">
        <f>ROW(B12) - ROW($B$9)</f>
        <v>3</v>
      </c>
      <c r="C12" s="36" t="s">
        <v>176</v>
      </c>
      <c r="D12" s="36" t="s">
        <v>14</v>
      </c>
      <c r="E12" s="37" t="s">
        <v>50</v>
      </c>
      <c r="F12" s="36" t="s">
        <v>85</v>
      </c>
      <c r="G12" s="37" t="s">
        <v>107</v>
      </c>
      <c r="H12" s="36" t="s">
        <v>135</v>
      </c>
      <c r="I12" s="37" t="s">
        <v>151</v>
      </c>
      <c r="J12" s="36">
        <v>4</v>
      </c>
      <c r="K12" s="36"/>
      <c r="L12" s="40"/>
    </row>
    <row r="13" spans="1:12" ht="15.75" thickBot="1" x14ac:dyDescent="0.3">
      <c r="A13" s="1"/>
      <c r="B13" s="52">
        <f t="shared" si="0"/>
        <v>4</v>
      </c>
      <c r="C13" s="38" t="s">
        <v>176</v>
      </c>
      <c r="D13" s="38" t="s">
        <v>15</v>
      </c>
      <c r="E13" s="39" t="s">
        <v>51</v>
      </c>
      <c r="F13" s="38" t="s">
        <v>85</v>
      </c>
      <c r="G13" s="39" t="s">
        <v>108</v>
      </c>
      <c r="H13" s="38" t="s">
        <v>133</v>
      </c>
      <c r="I13" s="39" t="s">
        <v>152</v>
      </c>
      <c r="J13" s="38">
        <v>3</v>
      </c>
      <c r="K13" s="38"/>
      <c r="L13" s="41"/>
    </row>
    <row r="14" spans="1:12" ht="15.75" thickBot="1" x14ac:dyDescent="0.3">
      <c r="A14" s="1"/>
      <c r="B14" s="52">
        <f>ROW(B14) - ROW($B$9)</f>
        <v>5</v>
      </c>
      <c r="C14" s="36" t="s">
        <v>176</v>
      </c>
      <c r="D14" s="36" t="s">
        <v>16</v>
      </c>
      <c r="E14" s="37" t="s">
        <v>52</v>
      </c>
      <c r="F14" s="36" t="s">
        <v>85</v>
      </c>
      <c r="G14" s="37" t="s">
        <v>109</v>
      </c>
      <c r="H14" s="36" t="s">
        <v>134</v>
      </c>
      <c r="I14" s="37" t="s">
        <v>153</v>
      </c>
      <c r="J14" s="36">
        <v>10</v>
      </c>
      <c r="K14" s="36"/>
      <c r="L14" s="40"/>
    </row>
    <row r="15" spans="1:12" ht="15.75" thickBot="1" x14ac:dyDescent="0.3">
      <c r="A15" s="1"/>
      <c r="B15" s="52">
        <f t="shared" si="0"/>
        <v>6</v>
      </c>
      <c r="C15" s="38" t="s">
        <v>176</v>
      </c>
      <c r="D15" s="38" t="s">
        <v>17</v>
      </c>
      <c r="E15" s="39" t="s">
        <v>53</v>
      </c>
      <c r="F15" s="38" t="s">
        <v>85</v>
      </c>
      <c r="G15" s="39" t="s">
        <v>110</v>
      </c>
      <c r="H15" s="38" t="s">
        <v>136</v>
      </c>
      <c r="I15" s="39" t="s">
        <v>154</v>
      </c>
      <c r="J15" s="38">
        <v>3</v>
      </c>
      <c r="K15" s="38"/>
      <c r="L15" s="41"/>
    </row>
    <row r="16" spans="1:12" ht="15.75" thickBot="1" x14ac:dyDescent="0.3">
      <c r="A16" s="1"/>
      <c r="B16" s="52">
        <f>ROW(B16) - ROW($B$9)</f>
        <v>7</v>
      </c>
      <c r="C16" s="36" t="s">
        <v>176</v>
      </c>
      <c r="D16" s="36" t="s">
        <v>18</v>
      </c>
      <c r="E16" s="37" t="s">
        <v>54</v>
      </c>
      <c r="F16" s="36" t="s">
        <v>85</v>
      </c>
      <c r="G16" s="37" t="s">
        <v>111</v>
      </c>
      <c r="H16" s="36" t="s">
        <v>137</v>
      </c>
      <c r="I16" s="37" t="s">
        <v>155</v>
      </c>
      <c r="J16" s="36">
        <v>1</v>
      </c>
      <c r="K16" s="36"/>
      <c r="L16" s="40"/>
    </row>
    <row r="17" spans="1:12" ht="15.75" thickBot="1" x14ac:dyDescent="0.3">
      <c r="A17" s="1"/>
      <c r="B17" s="52">
        <f t="shared" si="0"/>
        <v>8</v>
      </c>
      <c r="C17" s="38" t="s">
        <v>176</v>
      </c>
      <c r="D17" s="38" t="s">
        <v>19</v>
      </c>
      <c r="E17" s="39" t="s">
        <v>55</v>
      </c>
      <c r="F17" s="38" t="s">
        <v>85</v>
      </c>
      <c r="G17" s="39" t="s">
        <v>112</v>
      </c>
      <c r="H17" s="38" t="s">
        <v>133</v>
      </c>
      <c r="I17" s="39" t="s">
        <v>156</v>
      </c>
      <c r="J17" s="38">
        <v>2</v>
      </c>
      <c r="K17" s="38"/>
      <c r="L17" s="41"/>
    </row>
    <row r="18" spans="1:12" ht="15.75" thickBot="1" x14ac:dyDescent="0.3">
      <c r="A18" s="1"/>
      <c r="B18" s="52">
        <f>ROW(B18) - ROW($B$9)</f>
        <v>9</v>
      </c>
      <c r="C18" s="36" t="s">
        <v>176</v>
      </c>
      <c r="D18" s="36" t="s">
        <v>20</v>
      </c>
      <c r="E18" s="37" t="s">
        <v>56</v>
      </c>
      <c r="F18" s="36" t="s">
        <v>85</v>
      </c>
      <c r="G18" s="37" t="s">
        <v>113</v>
      </c>
      <c r="H18" s="36" t="s">
        <v>136</v>
      </c>
      <c r="I18" s="37" t="s">
        <v>157</v>
      </c>
      <c r="J18" s="36">
        <v>2</v>
      </c>
      <c r="K18" s="36"/>
      <c r="L18" s="40"/>
    </row>
    <row r="19" spans="1:12" ht="15.75" thickBot="1" x14ac:dyDescent="0.3">
      <c r="A19" s="1"/>
      <c r="B19" s="52">
        <f t="shared" si="0"/>
        <v>10</v>
      </c>
      <c r="C19" s="38" t="s">
        <v>176</v>
      </c>
      <c r="D19" s="38" t="s">
        <v>21</v>
      </c>
      <c r="E19" s="39" t="s">
        <v>57</v>
      </c>
      <c r="F19" s="38" t="s">
        <v>86</v>
      </c>
      <c r="G19" s="39" t="s">
        <v>114</v>
      </c>
      <c r="H19" s="38" t="s">
        <v>134</v>
      </c>
      <c r="I19" s="39" t="s">
        <v>156</v>
      </c>
      <c r="J19" s="38">
        <v>3</v>
      </c>
      <c r="K19" s="38"/>
      <c r="L19" s="41"/>
    </row>
    <row r="20" spans="1:12" ht="24.75" thickBot="1" x14ac:dyDescent="0.3">
      <c r="A20" s="1"/>
      <c r="B20" s="52">
        <f>ROW(B20) - ROW($B$9)</f>
        <v>11</v>
      </c>
      <c r="C20" s="36" t="s">
        <v>177</v>
      </c>
      <c r="D20" s="36" t="s">
        <v>22</v>
      </c>
      <c r="E20" s="37" t="s">
        <v>58</v>
      </c>
      <c r="F20" s="36" t="s">
        <v>87</v>
      </c>
      <c r="G20" s="37">
        <v>742792651</v>
      </c>
      <c r="H20" s="36" t="s">
        <v>138</v>
      </c>
      <c r="I20" s="37">
        <v>742792651</v>
      </c>
      <c r="J20" s="36">
        <v>1</v>
      </c>
      <c r="K20" s="36"/>
      <c r="L20" s="40"/>
    </row>
    <row r="21" spans="1:12" ht="24.75" thickBot="1" x14ac:dyDescent="0.3">
      <c r="A21" s="1"/>
      <c r="B21" s="52">
        <f t="shared" si="0"/>
        <v>12</v>
      </c>
      <c r="C21" s="38" t="s">
        <v>178</v>
      </c>
      <c r="D21" s="38" t="s">
        <v>23</v>
      </c>
      <c r="E21" s="39" t="s">
        <v>59</v>
      </c>
      <c r="F21" s="38" t="s">
        <v>88</v>
      </c>
      <c r="G21" s="39" t="s">
        <v>115</v>
      </c>
      <c r="H21" s="38" t="s">
        <v>139</v>
      </c>
      <c r="I21" s="39" t="s">
        <v>115</v>
      </c>
      <c r="J21" s="38">
        <v>1</v>
      </c>
      <c r="K21" s="38"/>
      <c r="L21" s="41"/>
    </row>
    <row r="22" spans="1:12" ht="24.75" thickBot="1" x14ac:dyDescent="0.3">
      <c r="A22" s="1"/>
      <c r="B22" s="52">
        <f>ROW(B22) - ROW($B$9)</f>
        <v>13</v>
      </c>
      <c r="C22" s="36" t="s">
        <v>178</v>
      </c>
      <c r="D22" s="36" t="s">
        <v>24</v>
      </c>
      <c r="E22" s="37" t="s">
        <v>60</v>
      </c>
      <c r="F22" s="36" t="s">
        <v>89</v>
      </c>
      <c r="G22" s="37" t="s">
        <v>158</v>
      </c>
      <c r="H22" s="36" t="s">
        <v>140</v>
      </c>
      <c r="I22" s="37" t="s">
        <v>158</v>
      </c>
      <c r="J22" s="36">
        <v>1</v>
      </c>
      <c r="K22" s="36"/>
      <c r="L22" s="40"/>
    </row>
    <row r="23" spans="1:12" ht="15.75" thickBot="1" x14ac:dyDescent="0.3">
      <c r="A23" s="1"/>
      <c r="B23" s="52">
        <f t="shared" si="0"/>
        <v>14</v>
      </c>
      <c r="C23" s="38" t="s">
        <v>179</v>
      </c>
      <c r="D23" s="38" t="s">
        <v>25</v>
      </c>
      <c r="E23" s="39" t="s">
        <v>61</v>
      </c>
      <c r="F23" s="38" t="s">
        <v>90</v>
      </c>
      <c r="G23" s="39">
        <v>61300311121</v>
      </c>
      <c r="H23" s="38" t="s">
        <v>138</v>
      </c>
      <c r="I23" s="39">
        <v>61300311121</v>
      </c>
      <c r="J23" s="38">
        <v>2</v>
      </c>
      <c r="K23" s="38"/>
      <c r="L23" s="41"/>
    </row>
    <row r="24" spans="1:12" ht="15.75" thickBot="1" x14ac:dyDescent="0.3">
      <c r="A24" s="1"/>
      <c r="B24" s="52">
        <f>ROW(B24) - ROW($B$9)</f>
        <v>15</v>
      </c>
      <c r="C24" s="36" t="s">
        <v>179</v>
      </c>
      <c r="D24" s="36" t="s">
        <v>26</v>
      </c>
      <c r="E24" s="37" t="s">
        <v>62</v>
      </c>
      <c r="F24" s="36" t="s">
        <v>91</v>
      </c>
      <c r="G24" s="37">
        <v>61300511121</v>
      </c>
      <c r="H24" s="36" t="s">
        <v>138</v>
      </c>
      <c r="I24" s="37">
        <v>61300511121</v>
      </c>
      <c r="J24" s="36">
        <v>1</v>
      </c>
      <c r="K24" s="36"/>
      <c r="L24" s="40"/>
    </row>
    <row r="25" spans="1:12" ht="15.75" thickBot="1" x14ac:dyDescent="0.3">
      <c r="A25" s="1"/>
      <c r="B25" s="52">
        <f t="shared" si="0"/>
        <v>16</v>
      </c>
      <c r="C25" s="38" t="s">
        <v>179</v>
      </c>
      <c r="D25" s="38" t="s">
        <v>27</v>
      </c>
      <c r="E25" s="39" t="s">
        <v>63</v>
      </c>
      <c r="F25" s="38" t="s">
        <v>92</v>
      </c>
      <c r="G25" s="39">
        <v>61300711121</v>
      </c>
      <c r="H25" s="38" t="s">
        <v>138</v>
      </c>
      <c r="I25" s="39">
        <v>61300711121</v>
      </c>
      <c r="J25" s="38">
        <v>2</v>
      </c>
      <c r="K25" s="38"/>
      <c r="L25" s="41"/>
    </row>
    <row r="26" spans="1:12" ht="15.75" thickBot="1" x14ac:dyDescent="0.3">
      <c r="A26" s="1"/>
      <c r="B26" s="52">
        <f>ROW(B26) - ROW($B$9)</f>
        <v>17</v>
      </c>
      <c r="C26" s="36" t="s">
        <v>179</v>
      </c>
      <c r="D26" s="36" t="s">
        <v>28</v>
      </c>
      <c r="E26" s="37" t="s">
        <v>64</v>
      </c>
      <c r="F26" s="36" t="s">
        <v>93</v>
      </c>
      <c r="G26" s="37">
        <v>61300411121</v>
      </c>
      <c r="H26" s="36" t="s">
        <v>138</v>
      </c>
      <c r="I26" s="37">
        <v>61300411121</v>
      </c>
      <c r="J26" s="36">
        <v>2</v>
      </c>
      <c r="K26" s="36"/>
      <c r="L26" s="40"/>
    </row>
    <row r="27" spans="1:12" ht="15.75" thickBot="1" x14ac:dyDescent="0.3">
      <c r="A27" s="1"/>
      <c r="B27" s="52">
        <f t="shared" si="0"/>
        <v>18</v>
      </c>
      <c r="C27" s="38" t="s">
        <v>179</v>
      </c>
      <c r="D27" s="38" t="s">
        <v>29</v>
      </c>
      <c r="E27" s="39" t="s">
        <v>65</v>
      </c>
      <c r="F27" s="38" t="s">
        <v>94</v>
      </c>
      <c r="G27" s="39" t="s">
        <v>116</v>
      </c>
      <c r="H27" s="38" t="s">
        <v>141</v>
      </c>
      <c r="I27" s="39" t="s">
        <v>116</v>
      </c>
      <c r="J27" s="38">
        <v>1</v>
      </c>
      <c r="K27" s="38"/>
      <c r="L27" s="41"/>
    </row>
    <row r="28" spans="1:12" ht="24.75" thickBot="1" x14ac:dyDescent="0.3">
      <c r="A28" s="1"/>
      <c r="B28" s="52">
        <f>ROW(B28) - ROW($B$9)</f>
        <v>19</v>
      </c>
      <c r="C28" s="36" t="s">
        <v>180</v>
      </c>
      <c r="D28" s="36" t="s">
        <v>30</v>
      </c>
      <c r="E28" s="37" t="s">
        <v>66</v>
      </c>
      <c r="F28" s="36" t="s">
        <v>175</v>
      </c>
      <c r="G28" s="37" t="s">
        <v>117</v>
      </c>
      <c r="H28" s="36" t="s">
        <v>142</v>
      </c>
      <c r="I28" s="37" t="s">
        <v>117</v>
      </c>
      <c r="J28" s="36">
        <v>3</v>
      </c>
      <c r="K28" s="36"/>
      <c r="L28" s="40"/>
    </row>
    <row r="29" spans="1:12" ht="24.75" thickBot="1" x14ac:dyDescent="0.3">
      <c r="A29" s="1"/>
      <c r="B29" s="52">
        <f t="shared" si="0"/>
        <v>20</v>
      </c>
      <c r="C29" s="38" t="s">
        <v>181</v>
      </c>
      <c r="D29" s="38" t="s">
        <v>31</v>
      </c>
      <c r="E29" s="39" t="s">
        <v>67</v>
      </c>
      <c r="F29" s="38" t="s">
        <v>95</v>
      </c>
      <c r="G29" s="39" t="s">
        <v>118</v>
      </c>
      <c r="H29" s="38" t="s">
        <v>136</v>
      </c>
      <c r="I29" s="39" t="s">
        <v>159</v>
      </c>
      <c r="J29" s="38">
        <v>13</v>
      </c>
      <c r="K29" s="38"/>
      <c r="L29" s="41"/>
    </row>
    <row r="30" spans="1:12" ht="15.75" thickBot="1" x14ac:dyDescent="0.3">
      <c r="A30" s="1"/>
      <c r="B30" s="52">
        <f>ROW(B30) - ROW($B$9)</f>
        <v>21</v>
      </c>
      <c r="C30" s="36" t="s">
        <v>181</v>
      </c>
      <c r="D30" s="36" t="s">
        <v>32</v>
      </c>
      <c r="E30" s="37" t="s">
        <v>68</v>
      </c>
      <c r="F30" s="36" t="s">
        <v>95</v>
      </c>
      <c r="G30" s="37" t="s">
        <v>119</v>
      </c>
      <c r="H30" s="36" t="s">
        <v>136</v>
      </c>
      <c r="I30" s="37" t="s">
        <v>160</v>
      </c>
      <c r="J30" s="36">
        <v>6</v>
      </c>
      <c r="K30" s="36"/>
      <c r="L30" s="40"/>
    </row>
    <row r="31" spans="1:12" ht="24.75" thickBot="1" x14ac:dyDescent="0.3">
      <c r="A31" s="1"/>
      <c r="B31" s="52">
        <f t="shared" si="0"/>
        <v>22</v>
      </c>
      <c r="C31" s="38" t="s">
        <v>181</v>
      </c>
      <c r="D31" s="38" t="s">
        <v>33</v>
      </c>
      <c r="E31" s="39" t="s">
        <v>69</v>
      </c>
      <c r="F31" s="38" t="s">
        <v>95</v>
      </c>
      <c r="G31" s="39" t="s">
        <v>120</v>
      </c>
      <c r="H31" s="38" t="s">
        <v>143</v>
      </c>
      <c r="I31" s="39" t="s">
        <v>161</v>
      </c>
      <c r="J31" s="38">
        <v>7</v>
      </c>
      <c r="K31" s="38"/>
      <c r="L31" s="41"/>
    </row>
    <row r="32" spans="1:12" ht="15.75" thickBot="1" x14ac:dyDescent="0.3">
      <c r="A32" s="1"/>
      <c r="B32" s="52">
        <f>ROW(B32) - ROW($B$9)</f>
        <v>23</v>
      </c>
      <c r="C32" s="36" t="s">
        <v>181</v>
      </c>
      <c r="D32" s="36" t="s">
        <v>34</v>
      </c>
      <c r="E32" s="37" t="s">
        <v>70</v>
      </c>
      <c r="F32" s="36" t="s">
        <v>95</v>
      </c>
      <c r="G32" s="37" t="s">
        <v>121</v>
      </c>
      <c r="H32" s="36" t="s">
        <v>136</v>
      </c>
      <c r="I32" s="37" t="s">
        <v>162</v>
      </c>
      <c r="J32" s="36">
        <v>2</v>
      </c>
      <c r="K32" s="36"/>
      <c r="L32" s="40"/>
    </row>
    <row r="33" spans="1:12" ht="15.75" thickBot="1" x14ac:dyDescent="0.3">
      <c r="A33" s="1"/>
      <c r="B33" s="52">
        <f t="shared" si="0"/>
        <v>24</v>
      </c>
      <c r="C33" s="38" t="s">
        <v>181</v>
      </c>
      <c r="D33" s="38" t="s">
        <v>35</v>
      </c>
      <c r="E33" s="39" t="s">
        <v>71</v>
      </c>
      <c r="F33" s="38" t="s">
        <v>96</v>
      </c>
      <c r="G33" s="39" t="s">
        <v>122</v>
      </c>
      <c r="H33" s="38" t="s">
        <v>136</v>
      </c>
      <c r="I33" s="39" t="s">
        <v>163</v>
      </c>
      <c r="J33" s="38">
        <v>1</v>
      </c>
      <c r="K33" s="38"/>
      <c r="L33" s="41"/>
    </row>
    <row r="34" spans="1:12" ht="15.75" thickBot="1" x14ac:dyDescent="0.3">
      <c r="A34" s="1"/>
      <c r="B34" s="52">
        <f>ROW(B34) - ROW($B$9)</f>
        <v>25</v>
      </c>
      <c r="C34" s="36" t="s">
        <v>181</v>
      </c>
      <c r="D34" s="36" t="s">
        <v>36</v>
      </c>
      <c r="E34" s="37" t="s">
        <v>72</v>
      </c>
      <c r="F34" s="36" t="s">
        <v>95</v>
      </c>
      <c r="G34" s="37" t="s">
        <v>123</v>
      </c>
      <c r="H34" s="36" t="s">
        <v>136</v>
      </c>
      <c r="I34" s="37" t="s">
        <v>164</v>
      </c>
      <c r="J34" s="36">
        <v>1</v>
      </c>
      <c r="K34" s="36"/>
      <c r="L34" s="40"/>
    </row>
    <row r="35" spans="1:12" ht="15.75" thickBot="1" x14ac:dyDescent="0.3">
      <c r="A35" s="1"/>
      <c r="B35" s="52">
        <f t="shared" si="0"/>
        <v>26</v>
      </c>
      <c r="C35" s="38" t="s">
        <v>181</v>
      </c>
      <c r="D35" s="38" t="s">
        <v>37</v>
      </c>
      <c r="E35" s="39" t="s">
        <v>73</v>
      </c>
      <c r="F35" s="38" t="s">
        <v>95</v>
      </c>
      <c r="G35" s="39" t="s">
        <v>124</v>
      </c>
      <c r="H35" s="38" t="s">
        <v>136</v>
      </c>
      <c r="I35" s="39" t="s">
        <v>165</v>
      </c>
      <c r="J35" s="38">
        <v>1</v>
      </c>
      <c r="K35" s="38"/>
      <c r="L35" s="41"/>
    </row>
    <row r="36" spans="1:12" ht="15.75" thickBot="1" x14ac:dyDescent="0.3">
      <c r="A36" s="1"/>
      <c r="B36" s="52">
        <f>ROW(B36) - ROW($B$9)</f>
        <v>27</v>
      </c>
      <c r="C36" s="36" t="s">
        <v>181</v>
      </c>
      <c r="D36" s="36" t="s">
        <v>38</v>
      </c>
      <c r="E36" s="37" t="s">
        <v>74</v>
      </c>
      <c r="F36" s="36" t="s">
        <v>95</v>
      </c>
      <c r="G36" s="37" t="s">
        <v>125</v>
      </c>
      <c r="H36" s="36" t="s">
        <v>136</v>
      </c>
      <c r="I36" s="37" t="s">
        <v>166</v>
      </c>
      <c r="J36" s="36">
        <v>6</v>
      </c>
      <c r="K36" s="36"/>
      <c r="L36" s="40"/>
    </row>
    <row r="37" spans="1:12" ht="15.75" thickBot="1" x14ac:dyDescent="0.3">
      <c r="A37" s="1"/>
      <c r="B37" s="52">
        <f t="shared" si="0"/>
        <v>28</v>
      </c>
      <c r="C37" s="38" t="s">
        <v>181</v>
      </c>
      <c r="D37" s="38" t="s">
        <v>39</v>
      </c>
      <c r="E37" s="39" t="s">
        <v>75</v>
      </c>
      <c r="F37" s="38" t="s">
        <v>97</v>
      </c>
      <c r="G37" s="39" t="s">
        <v>126</v>
      </c>
      <c r="H37" s="38" t="s">
        <v>144</v>
      </c>
      <c r="I37" s="39" t="s">
        <v>167</v>
      </c>
      <c r="J37" s="38">
        <v>2</v>
      </c>
      <c r="K37" s="38"/>
      <c r="L37" s="41"/>
    </row>
    <row r="38" spans="1:12" ht="15.75" thickBot="1" x14ac:dyDescent="0.3">
      <c r="A38" s="1"/>
      <c r="B38" s="52">
        <f>ROW(B38) - ROW($B$9)</f>
        <v>29</v>
      </c>
      <c r="C38" s="36" t="s">
        <v>181</v>
      </c>
      <c r="D38" s="36" t="s">
        <v>40</v>
      </c>
      <c r="E38" s="37" t="s">
        <v>76</v>
      </c>
      <c r="F38" s="36" t="s">
        <v>95</v>
      </c>
      <c r="G38" s="37" t="s">
        <v>127</v>
      </c>
      <c r="H38" s="36" t="s">
        <v>134</v>
      </c>
      <c r="I38" s="37" t="s">
        <v>168</v>
      </c>
      <c r="J38" s="36">
        <v>1</v>
      </c>
      <c r="K38" s="36"/>
      <c r="L38" s="40"/>
    </row>
    <row r="39" spans="1:12" ht="15.75" thickBot="1" x14ac:dyDescent="0.3">
      <c r="A39" s="1"/>
      <c r="B39" s="52">
        <f t="shared" si="0"/>
        <v>30</v>
      </c>
      <c r="C39" s="38" t="s">
        <v>98</v>
      </c>
      <c r="D39" s="38" t="s">
        <v>41</v>
      </c>
      <c r="E39" s="39" t="s">
        <v>77</v>
      </c>
      <c r="F39" s="38" t="s">
        <v>98</v>
      </c>
      <c r="G39" s="39"/>
      <c r="H39" s="38"/>
      <c r="I39" s="39" t="s">
        <v>98</v>
      </c>
      <c r="J39" s="38">
        <v>3</v>
      </c>
      <c r="K39" s="38"/>
      <c r="L39" s="41"/>
    </row>
    <row r="40" spans="1:12" ht="15.75" thickBot="1" x14ac:dyDescent="0.3">
      <c r="A40" s="1"/>
      <c r="B40" s="52">
        <f>ROW(B40) - ROW($B$9)</f>
        <v>31</v>
      </c>
      <c r="C40" s="36" t="s">
        <v>182</v>
      </c>
      <c r="D40" s="36" t="s">
        <v>42</v>
      </c>
      <c r="E40" s="37" t="s">
        <v>78</v>
      </c>
      <c r="F40" s="36" t="s">
        <v>99</v>
      </c>
      <c r="G40" s="37" t="s">
        <v>128</v>
      </c>
      <c r="H40" s="36" t="s">
        <v>145</v>
      </c>
      <c r="I40" s="37" t="s">
        <v>128</v>
      </c>
      <c r="J40" s="36">
        <v>1</v>
      </c>
      <c r="K40" s="36"/>
      <c r="L40" s="40"/>
    </row>
    <row r="41" spans="1:12" ht="15.75" thickBot="1" x14ac:dyDescent="0.3">
      <c r="A41" s="1"/>
      <c r="B41" s="52">
        <f t="shared" si="0"/>
        <v>32</v>
      </c>
      <c r="C41" s="38" t="s">
        <v>182</v>
      </c>
      <c r="D41" s="38" t="s">
        <v>43</v>
      </c>
      <c r="E41" s="39" t="s">
        <v>79</v>
      </c>
      <c r="F41" s="38" t="s">
        <v>100</v>
      </c>
      <c r="G41" s="39" t="s">
        <v>129</v>
      </c>
      <c r="H41" s="38" t="s">
        <v>146</v>
      </c>
      <c r="I41" s="39" t="s">
        <v>169</v>
      </c>
      <c r="J41" s="38">
        <v>2</v>
      </c>
      <c r="K41" s="38"/>
      <c r="L41" s="41"/>
    </row>
    <row r="42" spans="1:12" ht="15.75" thickBot="1" x14ac:dyDescent="0.3">
      <c r="A42" s="1"/>
      <c r="B42" s="52">
        <f>ROW(B42) - ROW($B$9)</f>
        <v>33</v>
      </c>
      <c r="C42" s="36" t="s">
        <v>182</v>
      </c>
      <c r="D42" s="36" t="s">
        <v>44</v>
      </c>
      <c r="E42" s="37" t="s">
        <v>80</v>
      </c>
      <c r="F42" s="36" t="s">
        <v>101</v>
      </c>
      <c r="G42" s="37" t="s">
        <v>130</v>
      </c>
      <c r="H42" s="36" t="s">
        <v>145</v>
      </c>
      <c r="I42" s="37" t="s">
        <v>130</v>
      </c>
      <c r="J42" s="36">
        <v>1</v>
      </c>
      <c r="K42" s="36"/>
      <c r="L42" s="40"/>
    </row>
    <row r="43" spans="1:12" ht="15.75" thickBot="1" x14ac:dyDescent="0.3">
      <c r="A43" s="1"/>
      <c r="B43" s="52">
        <f t="shared" si="0"/>
        <v>34</v>
      </c>
      <c r="C43" s="38" t="s">
        <v>182</v>
      </c>
      <c r="D43" s="38" t="s">
        <v>45</v>
      </c>
      <c r="E43" s="39" t="s">
        <v>81</v>
      </c>
      <c r="F43" s="38" t="s">
        <v>102</v>
      </c>
      <c r="G43" s="39" t="s">
        <v>131</v>
      </c>
      <c r="H43" s="38" t="s">
        <v>147</v>
      </c>
      <c r="I43" s="39" t="s">
        <v>131</v>
      </c>
      <c r="J43" s="38">
        <v>2</v>
      </c>
      <c r="K43" s="38"/>
      <c r="L43" s="41"/>
    </row>
    <row r="44" spans="1:12" ht="36.75" thickBot="1" x14ac:dyDescent="0.3">
      <c r="A44" s="1"/>
      <c r="B44" s="52">
        <f>ROW(B44) - ROW($B$9)</f>
        <v>35</v>
      </c>
      <c r="C44" s="36" t="s">
        <v>183</v>
      </c>
      <c r="D44" s="36" t="s">
        <v>46</v>
      </c>
      <c r="E44" s="37" t="s">
        <v>82</v>
      </c>
      <c r="F44" s="36" t="s">
        <v>103</v>
      </c>
      <c r="G44" s="37" t="s">
        <v>103</v>
      </c>
      <c r="H44" s="36" t="s">
        <v>148</v>
      </c>
      <c r="I44" s="37" t="s">
        <v>170</v>
      </c>
      <c r="J44" s="36">
        <v>1</v>
      </c>
      <c r="K44" s="36"/>
      <c r="L44" s="40"/>
    </row>
    <row r="45" spans="1:12" x14ac:dyDescent="0.25">
      <c r="A45" s="1"/>
      <c r="B45" s="31"/>
      <c r="C45" s="50"/>
      <c r="D45" s="32" t="s">
        <v>5</v>
      </c>
      <c r="E45" s="33"/>
      <c r="F45" s="34"/>
      <c r="G45" s="35"/>
      <c r="H45" s="34"/>
      <c r="I45" s="35"/>
      <c r="J45" s="35"/>
      <c r="K45" s="35"/>
      <c r="L45" s="43"/>
    </row>
    <row r="46" spans="1:12" ht="15.75" thickBot="1" x14ac:dyDescent="0.3">
      <c r="A46" s="1"/>
      <c r="B46" s="24"/>
      <c r="C46" s="51"/>
      <c r="D46" s="8" t="s">
        <v>6</v>
      </c>
      <c r="E46" s="9"/>
      <c r="F46" s="9"/>
      <c r="G46" s="9"/>
      <c r="H46" s="9"/>
      <c r="I46" s="9"/>
      <c r="J46" s="9"/>
      <c r="K46" s="9"/>
      <c r="L46" s="44"/>
    </row>
  </sheetData>
  <mergeCells count="2">
    <mergeCell ref="I1:L1"/>
    <mergeCell ref="L3:L8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Faizan</cp:lastModifiedBy>
  <dcterms:created xsi:type="dcterms:W3CDTF">2019-12-12T10:34:26Z</dcterms:created>
  <dcterms:modified xsi:type="dcterms:W3CDTF">2022-08-16T17:14:38Z</dcterms:modified>
</cp:coreProperties>
</file>