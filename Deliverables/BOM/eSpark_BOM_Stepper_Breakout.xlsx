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Github\Mahmood-PTZKeyboard\Deliverables\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10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Q44" i="1" l="1"/>
  <c r="Q45" i="1" s="1"/>
</calcChain>
</file>

<file path=xl/sharedStrings.xml><?xml version="1.0" encoding="utf-8"?>
<sst xmlns="http://schemas.openxmlformats.org/spreadsheetml/2006/main" count="369" uniqueCount="230">
  <si>
    <t>Component list</t>
  </si>
  <si>
    <t>Source Data From:</t>
  </si>
  <si>
    <t>Project:</t>
  </si>
  <si>
    <t>Variant:</t>
  </si>
  <si>
    <t>#</t>
  </si>
  <si>
    <t>Approved</t>
  </si>
  <si>
    <t>Notes</t>
  </si>
  <si>
    <t>None</t>
  </si>
  <si>
    <t>Designator</t>
  </si>
  <si>
    <t>C1, C2, C3, C4, C5, C6, C9, C11, C12, C13, C17, C21, C22, C23, C25, C39, C40, C41, C42, C44, C45</t>
  </si>
  <si>
    <t>C7, C10</t>
  </si>
  <si>
    <t>C8, C27, C47, C48</t>
  </si>
  <si>
    <t>C14, C15, C16</t>
  </si>
  <si>
    <t>C18, C19, C20, C32, C33, C34, C35, C36, C37, C38</t>
  </si>
  <si>
    <t>C24, C30, C31</t>
  </si>
  <si>
    <t>C26</t>
  </si>
  <si>
    <t>C28, C29</t>
  </si>
  <si>
    <t>C43, C46</t>
  </si>
  <si>
    <t>C49, C50, C51</t>
  </si>
  <si>
    <t>FB1</t>
  </si>
  <si>
    <t>LED1</t>
  </si>
  <si>
    <t>LED2</t>
  </si>
  <si>
    <t>P1</t>
  </si>
  <si>
    <t>P2</t>
  </si>
  <si>
    <t>P3, P5</t>
  </si>
  <si>
    <t>P4, P6</t>
  </si>
  <si>
    <t>P7</t>
  </si>
  <si>
    <t>Q1, Q2, Q3</t>
  </si>
  <si>
    <t>R1, R2, R3, R4, R5, R6, R7, R9, R11, R13, R14, R26, R27</t>
  </si>
  <si>
    <t>R8, R10, R12, R29, R30, R31</t>
  </si>
  <si>
    <t>R15, R16, R17, R18, R21, R22, R23</t>
  </si>
  <si>
    <t>R19, R20</t>
  </si>
  <si>
    <t>R24</t>
  </si>
  <si>
    <t>R25</t>
  </si>
  <si>
    <t>R28</t>
  </si>
  <si>
    <t>R32, R33, R35, R36, R37, R38</t>
  </si>
  <si>
    <t>R34, R39</t>
  </si>
  <si>
    <t>RT1</t>
  </si>
  <si>
    <t>U1</t>
  </si>
  <si>
    <t>U2, U3</t>
  </si>
  <si>
    <t>U4</t>
  </si>
  <si>
    <t>U5, U6</t>
  </si>
  <si>
    <t>X1</t>
  </si>
  <si>
    <t>Description</t>
  </si>
  <si>
    <t>CAP CER 0.1UF 50V X7R 0402</t>
  </si>
  <si>
    <t>CAP CER 4.7UF 16V X5R 0603</t>
  </si>
  <si>
    <t>CAP CER 0.47uF 50V X7R 0603</t>
  </si>
  <si>
    <t>CAP CER 1nF 100V X7R 0603</t>
  </si>
  <si>
    <t>CAP CER 100PF 50V C0G/NP0 0603</t>
  </si>
  <si>
    <t>CAP CER 0.1UF 100V X7R 0603</t>
  </si>
  <si>
    <t>CAP CER 22nF 100V X7R 0603</t>
  </si>
  <si>
    <t>CAP CER 2.2UF 16V X5R 0603</t>
  </si>
  <si>
    <t>CAP CER 2200PF 50V X7R 0603</t>
  </si>
  <si>
    <t>CAP CER 2.2UF 100V X7T 0805</t>
  </si>
  <si>
    <t>Ferrite Beads WE-CBF 0603 SMD Bead 100MHz 600Ohm 1000mA</t>
  </si>
  <si>
    <t>blue 0603 Light Emitting Diodes (LED) ROHS</t>
  </si>
  <si>
    <t>Red 625nm 0402 Light Emitting Diodes (LED) RoHS</t>
  </si>
  <si>
    <t>CONN HEADER VERT 3POS 2.54MM</t>
  </si>
  <si>
    <t>CONN HEADER VERT 5POS 2.54MM</t>
  </si>
  <si>
    <t>CONN HEADER VERT 7POS 2.54MM</t>
  </si>
  <si>
    <t>CONN HEADER VERT 4POS 2.54MM</t>
  </si>
  <si>
    <t>CONN HEADER VERT 10POS 2.54MM</t>
  </si>
  <si>
    <t>MOSFET 2N-CH 60V 15A 12POWER</t>
  </si>
  <si>
    <t>RES SMD 4.7K OHM 1% 1/10W 0603</t>
  </si>
  <si>
    <t>RES SMD 1K OHM 1% 1/10W 0603</t>
  </si>
  <si>
    <t>270Ω 0603 Chip Resistor - Surface Mount ROHS</t>
  </si>
  <si>
    <t>RES SMD 150OHM 1/10W 0603</t>
  </si>
  <si>
    <t>RES SMD 100 OHM 5% 1/16W 0402</t>
  </si>
  <si>
    <t>RES SMD 220 OHM 1% 1/10W 0603</t>
  </si>
  <si>
    <t>RES SMD 47K OHM 5% 1/10W 0603</t>
  </si>
  <si>
    <t>RES SMD 10 OHM 1% 1/10W 0603</t>
  </si>
  <si>
    <t>RES SMD 0 OHM JUMPER 1/5W 0402</t>
  </si>
  <si>
    <t>THERMISTOR NTC 10KOHM 3380K 0603</t>
  </si>
  <si>
    <t>SERVO CONTROLLER IC, QFN76</t>
  </si>
  <si>
    <t>IC BUFF SCHMT TRG TRPL 8VSSOP</t>
  </si>
  <si>
    <t>GATE DRIVER IC 8-60V QFN37</t>
  </si>
  <si>
    <t>IC CURRENT SENSE 1 CIRCUIT 8SOIC</t>
  </si>
  <si>
    <t>1.62V~3.63V -40℃~+85℃ 10mA ±20ppm CMOS 25MHz SMD3225-4P Oscillators ROHS</t>
  </si>
  <si>
    <t>Footprint</t>
  </si>
  <si>
    <t>Cap0402</t>
  </si>
  <si>
    <t>Cap0603</t>
  </si>
  <si>
    <t>Cap0805</t>
  </si>
  <si>
    <t>IND 0603</t>
  </si>
  <si>
    <t>LED 0603</t>
  </si>
  <si>
    <t>LED 0402</t>
  </si>
  <si>
    <t>HDR1X3</t>
  </si>
  <si>
    <t>HDR1X5</t>
  </si>
  <si>
    <t>HDR1X7</t>
  </si>
  <si>
    <t>HDR1X4</t>
  </si>
  <si>
    <t>HDR2X5</t>
  </si>
  <si>
    <t>Res0603</t>
  </si>
  <si>
    <t>Res0402</t>
  </si>
  <si>
    <t>76-QFN (10.5x6.5)</t>
  </si>
  <si>
    <t>8-VSSOP</t>
  </si>
  <si>
    <t>37-QFN-EP (7x7)</t>
  </si>
  <si>
    <t>SOIC-8</t>
  </si>
  <si>
    <t>SX3M25.000M20F30TNN</t>
  </si>
  <si>
    <t>Manufacturer Part Number</t>
  </si>
  <si>
    <t>CL05B104KB54PNC</t>
  </si>
  <si>
    <t>GRM188R61C475KAAJD</t>
  </si>
  <si>
    <t>UMK107B7474KA-TR</t>
  </si>
  <si>
    <t>CL10B102KC8NNNC</t>
  </si>
  <si>
    <t>GRM1885C1H101JA01D</t>
  </si>
  <si>
    <t>CC0603KRX7R0BB104</t>
  </si>
  <si>
    <t>C0603C223K1RACTU</t>
  </si>
  <si>
    <t>CL10A225KO8NNNC</t>
  </si>
  <si>
    <t>CC0603KRX7R9BB222</t>
  </si>
  <si>
    <t>GRM21BD72A225KE01L</t>
  </si>
  <si>
    <t>D-060306B1</t>
  </si>
  <si>
    <t>67997-410HLF</t>
  </si>
  <si>
    <t>FDMD8260L</t>
  </si>
  <si>
    <t>RC0603FR-074K7L</t>
  </si>
  <si>
    <t>RC0603FR-071KL</t>
  </si>
  <si>
    <t>ARG03FTC2700</t>
  </si>
  <si>
    <t>RC0603FR-07150RL</t>
  </si>
  <si>
    <t>RC0402JR-07100RL</t>
  </si>
  <si>
    <t>RC0603FR-07220RL</t>
  </si>
  <si>
    <t>RC0603JR-0747KL</t>
  </si>
  <si>
    <t>RC0603FR-0710RL</t>
  </si>
  <si>
    <t>RCS04020000Z0ED</t>
  </si>
  <si>
    <t>NCP18XH103F03RB</t>
  </si>
  <si>
    <t>TMC4671-LA</t>
  </si>
  <si>
    <t>74LVC3G17DC125</t>
  </si>
  <si>
    <t>TMC6100-LA</t>
  </si>
  <si>
    <t>AD8418WBRZ-RL</t>
  </si>
  <si>
    <t>Manufacturer</t>
  </si>
  <si>
    <t>Samsung</t>
  </si>
  <si>
    <t>Murata</t>
  </si>
  <si>
    <t>Taiyo Yuden</t>
  </si>
  <si>
    <t>Yageo</t>
  </si>
  <si>
    <t>KEMET</t>
  </si>
  <si>
    <t>Wurth Electronics</t>
  </si>
  <si>
    <t>ARKLED</t>
  </si>
  <si>
    <t>TOGIALED</t>
  </si>
  <si>
    <t>Amphenol FCI</t>
  </si>
  <si>
    <t>ON Semiconductor / Fairchild</t>
  </si>
  <si>
    <t>Viking Tech</t>
  </si>
  <si>
    <t>Vishay Dale</t>
  </si>
  <si>
    <t>Trinamic</t>
  </si>
  <si>
    <t>NXP Semiconductors</t>
  </si>
  <si>
    <t>Analog Devices</t>
  </si>
  <si>
    <t>SCTF Elec</t>
  </si>
  <si>
    <t>Comment</t>
  </si>
  <si>
    <t>0.1UF</t>
  </si>
  <si>
    <t>4.7uF</t>
  </si>
  <si>
    <t>0.47uF</t>
  </si>
  <si>
    <t>1nF</t>
  </si>
  <si>
    <t>100pF</t>
  </si>
  <si>
    <t>0.1uF/100V</t>
  </si>
  <si>
    <t>22nF</t>
  </si>
  <si>
    <t>2.2uF</t>
  </si>
  <si>
    <t>2.2nF</t>
  </si>
  <si>
    <t>TJ-S1005SW4TGLC2R-A5</t>
  </si>
  <si>
    <t>4.7K</t>
  </si>
  <si>
    <t>1K</t>
  </si>
  <si>
    <t>270R</t>
  </si>
  <si>
    <t>150R</t>
  </si>
  <si>
    <t>100R</t>
  </si>
  <si>
    <t>220R</t>
  </si>
  <si>
    <t>47K</t>
  </si>
  <si>
    <t>10R</t>
  </si>
  <si>
    <t>0R</t>
  </si>
  <si>
    <t>10K</t>
  </si>
  <si>
    <t>25MHz</t>
  </si>
  <si>
    <t>Quantity</t>
  </si>
  <si>
    <t>Item Type</t>
  </si>
  <si>
    <t>Capacitor</t>
  </si>
  <si>
    <t>Inductor</t>
  </si>
  <si>
    <t>LED</t>
  </si>
  <si>
    <t>Header</t>
  </si>
  <si>
    <t>Mosfet</t>
  </si>
  <si>
    <t>Resistor</t>
  </si>
  <si>
    <t>IC</t>
  </si>
  <si>
    <t>Crystal</t>
  </si>
  <si>
    <t>Remarks</t>
  </si>
  <si>
    <t>Reviewer Remarks</t>
  </si>
  <si>
    <t>Links</t>
  </si>
  <si>
    <t>LCSC/Part Number</t>
  </si>
  <si>
    <t>Alternate Part Number</t>
  </si>
  <si>
    <t>-</t>
  </si>
  <si>
    <t>Bill of Materials for Project {PTZ Keyboard}</t>
  </si>
  <si>
    <t>Stepper_Breakout</t>
  </si>
  <si>
    <t>Custom</t>
  </si>
  <si>
    <t>C307331</t>
  </si>
  <si>
    <t>Quantity/6 Boards</t>
  </si>
  <si>
    <t>LCSC/MOQ/6 Boards</t>
  </si>
  <si>
    <t>Unit Cost/6 Boards</t>
  </si>
  <si>
    <t>Total Cost/6 Boards</t>
  </si>
  <si>
    <t>LCSC</t>
  </si>
  <si>
    <t>C86016</t>
  </si>
  <si>
    <t>C92847</t>
  </si>
  <si>
    <t>C153291</t>
  </si>
  <si>
    <t>C71664</t>
  </si>
  <si>
    <t>C113803</t>
  </si>
  <si>
    <t>C23630</t>
  </si>
  <si>
    <t>C107082</t>
  </si>
  <si>
    <t>C2981733</t>
  </si>
  <si>
    <t>C118339</t>
  </si>
  <si>
    <t>C273598</t>
  </si>
  <si>
    <t>C99782</t>
  </si>
  <si>
    <t>C22548</t>
  </si>
  <si>
    <t>C217921</t>
  </si>
  <si>
    <t>C114608</t>
  </si>
  <si>
    <t>C106233</t>
  </si>
  <si>
    <t>C107696</t>
  </si>
  <si>
    <t>C127447</t>
  </si>
  <si>
    <t>C109318</t>
  </si>
  <si>
    <t>C844673</t>
  </si>
  <si>
    <t>C13564</t>
  </si>
  <si>
    <t>C2901575</t>
  </si>
  <si>
    <t>DZ254R-11-03-63</t>
  </si>
  <si>
    <t>C2935909</t>
  </si>
  <si>
    <t>MTP125-1105S1</t>
  </si>
  <si>
    <t>C358687</t>
  </si>
  <si>
    <t>PZ254V-11-07P</t>
  </si>
  <si>
    <t>C492406</t>
  </si>
  <si>
    <t>MTP125-1104S1</t>
  </si>
  <si>
    <t>C358686</t>
  </si>
  <si>
    <t>Z-21310110021001</t>
  </si>
  <si>
    <t>C115170</t>
  </si>
  <si>
    <t>C376821</t>
  </si>
  <si>
    <t>TCC0603X7R223K101CT</t>
  </si>
  <si>
    <t>CBW160808U601T</t>
  </si>
  <si>
    <t>C139183</t>
  </si>
  <si>
    <t>Custom Supplier</t>
  </si>
  <si>
    <t>Quote From LULU</t>
  </si>
  <si>
    <t>Aliexpress</t>
  </si>
  <si>
    <t xml:space="preserve">Total Component Cost </t>
  </si>
  <si>
    <t>Single Board Cost</t>
  </si>
  <si>
    <t>Aliexpress 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</si>
</sst>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4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8" fillId="2" borderId="16" xfId="0" quotePrefix="1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/>
    </xf>
    <xf numFmtId="0" fontId="18" fillId="4" borderId="16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165" fontId="18" fillId="4" borderId="16" xfId="0" applyNumberFormat="1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24" fillId="3" borderId="21" xfId="0" applyFont="1" applyFill="1" applyBorder="1" applyAlignment="1" applyProtection="1">
      <alignment horizontal="center" vertical="top"/>
      <protection locked="0"/>
    </xf>
    <xf numFmtId="0" fontId="24" fillId="3" borderId="12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02242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1KL_C22548.html" TargetMode="External"/><Relationship Id="rId18" Type="http://schemas.openxmlformats.org/officeDocument/2006/relationships/hyperlink" Target="https://www.lcsc.com/product-detail/Chip-Resistor-Surface-Mount_YAGEO-RC0603JR-0747KL_C127447.html" TargetMode="External"/><Relationship Id="rId26" Type="http://schemas.openxmlformats.org/officeDocument/2006/relationships/hyperlink" Target="https://www.lcsc.com/product-detail/span-style-background-color-ff0-Pin-span-Headers_MINTRON-MTP125-1104S1_C358686.html" TargetMode="External"/><Relationship Id="rId3" Type="http://schemas.openxmlformats.org/officeDocument/2006/relationships/hyperlink" Target="https://www.lcsc.com/product-detail/Multilayer-Ceramic-Capacitors-MLCC-SMD-SMT_Taiyo-Yuden-UMK107B7474KA-TR_C92847.html" TargetMode="External"/><Relationship Id="rId21" Type="http://schemas.openxmlformats.org/officeDocument/2006/relationships/hyperlink" Target="https://www.lcsc.com/product-detail/NTC-Thermistors_Murata-Electronics-NCP18XH103F03RB_C13564.html" TargetMode="External"/><Relationship Id="rId7" Type="http://schemas.openxmlformats.org/officeDocument/2006/relationships/hyperlink" Target="https://www.lcsc.com/product-detail/Multilayer-Ceramic-Capacitors-MLCC-SMD-SMT_Samsung-Electro-Mechanics-CL10A225KO8NNNC_C23630.html" TargetMode="External"/><Relationship Id="rId12" Type="http://schemas.openxmlformats.org/officeDocument/2006/relationships/hyperlink" Target="https://www.lcsc.com/product-detail/Chip-Resistor-Surface-Mount_YAGEO-RC0603FR-074K7L_C99782.html" TargetMode="External"/><Relationship Id="rId17" Type="http://schemas.openxmlformats.org/officeDocument/2006/relationships/hyperlink" Target="https://www.lcsc.com/product-detail/Chip-Resistor-Surface-Mount_YAGEO-RC0603FR-07220RL_C107696.html" TargetMode="External"/><Relationship Id="rId25" Type="http://schemas.openxmlformats.org/officeDocument/2006/relationships/hyperlink" Target="https://www.lcsc.com/product-detail/span-style-background-color-ff0-Pin-span-Headers_XFCN-PZ254V-11-07P_C492406.html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Murata-Electronics-GRM188R61C475KAAJD_C86016.html" TargetMode="External"/><Relationship Id="rId16" Type="http://schemas.openxmlformats.org/officeDocument/2006/relationships/hyperlink" Target="https://www.lcsc.com/product-detail/Chip-Resistor-Surface-Mount_YAGEO-RC0402JR-07100RL_C106233.html" TargetMode="External"/><Relationship Id="rId20" Type="http://schemas.openxmlformats.org/officeDocument/2006/relationships/hyperlink" Target="https://www.lcsc.com/product-detail/Chip-Resistor-Surface-Mount_Vishay-Intertech-RCS04020000Z0ED_C844673.html" TargetMode="External"/><Relationship Id="rId29" Type="http://schemas.openxmlformats.org/officeDocument/2006/relationships/hyperlink" Target="https://www.lcsc.com/product-detail/span-style-background-color-ff0-Ferrite-span-Beads_FH-Guangdong-Fenghua-Advanced-Tech-CBW160808U601T_C139183.html" TargetMode="External"/><Relationship Id="rId1" Type="http://schemas.openxmlformats.org/officeDocument/2006/relationships/hyperlink" Target="https://www.lcsc.com/product-detail/Multilayer-Ceramic-Capacitors-MLCC-SMD-SMT_Samsung-Electro-Mechanics-CL05B104KB54PNC_C307331.html" TargetMode="External"/><Relationship Id="rId6" Type="http://schemas.openxmlformats.org/officeDocument/2006/relationships/hyperlink" Target="https://www.lcsc.com/product-detail/Multilayer-Ceramic-Capacitors-MLCC-SMD-SMT_YAGEO-CC0603KRX7R0BB104_C113803.html" TargetMode="External"/><Relationship Id="rId11" Type="http://schemas.openxmlformats.org/officeDocument/2006/relationships/hyperlink" Target="https://www.lcsc.com/product-detail/Light-Emitting-Diodes-LED_TOGIALED-TJ-S1005SW4TGLC2R-A5_C273598.html" TargetMode="External"/><Relationship Id="rId24" Type="http://schemas.openxmlformats.org/officeDocument/2006/relationships/hyperlink" Target="https://www.lcsc.com/product-detail/span-style-background-color-ff0-Pin-span-Headers_MINTRON-MTP125-1105S1_C358687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Murata-Electronics-GRM1885C1H101JA01D_C71664.html" TargetMode="External"/><Relationship Id="rId15" Type="http://schemas.openxmlformats.org/officeDocument/2006/relationships/hyperlink" Target="https://www.lcsc.com/product-detail/Chip-Resistor-Surface-Mount_YAGEO-RC0603FR-07150RL_C114608.html" TargetMode="External"/><Relationship Id="rId23" Type="http://schemas.openxmlformats.org/officeDocument/2006/relationships/hyperlink" Target="https://www.lcsc.com/product-detail/span-style-background-color-ff0-Pin-span-Headers_DEALON-DZ254R-11-03-63_C2935909.html" TargetMode="External"/><Relationship Id="rId28" Type="http://schemas.openxmlformats.org/officeDocument/2006/relationships/hyperlink" Target="https://www.lcsc.com/product-detail/Multilayer-Ceramic-Capacitors-MLCC-SMD-SMT_CCTC-TCC0603X7R223K101CT_C376821.html" TargetMode="External"/><Relationship Id="rId10" Type="http://schemas.openxmlformats.org/officeDocument/2006/relationships/hyperlink" Target="https://www.lcsc.com/product-detail/Light-Emitting-Diodes-LED_ARKLED-Wuxi-ARK-Tech-Elec-D-060306B1_C118339.html" TargetMode="External"/><Relationship Id="rId19" Type="http://schemas.openxmlformats.org/officeDocument/2006/relationships/hyperlink" Target="https://www.lcsc.com/product-detail/Chip-Resistor-Surface-Mount_YAGEO-RC0603FR-0710RL_C109318.html" TargetMode="External"/><Relationship Id="rId31" Type="http://schemas.openxmlformats.org/officeDocument/2006/relationships/hyperlink" Target="https://lcsc.com/product-detail/Buffers-Drivers_Nexperia-74LVC3G17DC-125_C458193.html" TargetMode="External"/><Relationship Id="rId4" Type="http://schemas.openxmlformats.org/officeDocument/2006/relationships/hyperlink" Target="https://www.lcsc.com/product-detail/Multilayer-Ceramic-Capacitors-MLCC-SMD-SMT_Samsung-Electro-Mechanics-CL10B102KC8NNNC_C153291.html" TargetMode="External"/><Relationship Id="rId9" Type="http://schemas.openxmlformats.org/officeDocument/2006/relationships/hyperlink" Target="https://www.lcsc.com/product-detail/Multilayer-Ceramic-Capacitors-MLCC-SMD-SMT_Murata-Electronics-GRM21BD72A225KE01L_C2981733.html" TargetMode="External"/><Relationship Id="rId14" Type="http://schemas.openxmlformats.org/officeDocument/2006/relationships/hyperlink" Target="https://www.lcsc.com/product-detail/Chip-Resistor-Surface-Mount_Viking-Tech-ARG03FTC2700_C217921.html" TargetMode="External"/><Relationship Id="rId22" Type="http://schemas.openxmlformats.org/officeDocument/2006/relationships/hyperlink" Target="https://www.lcsc.com/product-detail/Oscillators_Shenzhen-SCTF-Elec-SX3M25-000M20F30TNN_C2901575.html" TargetMode="External"/><Relationship Id="rId27" Type="http://schemas.openxmlformats.org/officeDocument/2006/relationships/hyperlink" Target="https://www.lcsc.com/product-detail/span-style-background-color-ff0-Pin-span-Headers_Nextron-Nextronics-Engineering-Z-21310110021001_C115170.html" TargetMode="External"/><Relationship Id="rId30" Type="http://schemas.openxmlformats.org/officeDocument/2006/relationships/hyperlink" Target="https://www.aliexpress.com/item/33048761228.html?spm=a2g0o.productlist.0.0.b173862bcUuaUf&amp;algo_pvid=7d0e89e9-4c82-43f2-a8e2-9dabed55d956&amp;algo_exp_id=7d0e89e9-4c82-43f2-a8e2-9dabed55d956-0&amp;pdp_ext_f=%7B%22sku_id%22%3A%2267494956675%22%7D&amp;pdp_npi=2%40dis%21USD%211.28%211.18%21%21%21%21%21%400bb47a1a16602340144403117eec5b%2167494956675%21sea&amp;curPageLogUid=IxDhIl2yROis" TargetMode="External"/><Relationship Id="rId8" Type="http://schemas.openxmlformats.org/officeDocument/2006/relationships/hyperlink" Target="https://www.lcsc.com/product-detail/Multilayer-Ceramic-Capacitors-MLCC-SMD-SMT_YAGEO-CC0603KRX7R9BB222_C10708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6"/>
  <sheetViews>
    <sheetView tabSelected="1" topLeftCell="I10" zoomScale="85" zoomScaleNormal="85" workbookViewId="0">
      <selection activeCell="H24" sqref="H24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5703125" bestFit="1" customWidth="1"/>
    <col min="9" max="9" width="21.42578125" bestFit="1" customWidth="1"/>
    <col min="10" max="10" width="17.5703125" bestFit="1" customWidth="1"/>
    <col min="11" max="11" width="17.85546875" bestFit="1" customWidth="1"/>
    <col min="12" max="12" width="11" customWidth="1"/>
    <col min="13" max="13" width="17.28515625" bestFit="1" customWidth="1"/>
    <col min="14" max="14" width="19.28515625" bestFit="1" customWidth="1"/>
    <col min="15" max="15" width="13.42578125" bestFit="1" customWidth="1"/>
    <col min="16" max="16" width="17.7109375" bestFit="1" customWidth="1"/>
    <col min="17" max="17" width="18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6"/>
      <c r="L1" s="76"/>
      <c r="M1" s="76"/>
      <c r="N1" s="76"/>
      <c r="O1" s="76"/>
      <c r="P1" s="76"/>
      <c r="Q1" s="76"/>
      <c r="R1" s="76"/>
      <c r="S1" s="77"/>
    </row>
    <row r="2" spans="1:19" ht="32.25" thickBot="1" x14ac:dyDescent="0.3">
      <c r="A2" s="1"/>
      <c r="B2" s="21"/>
      <c r="C2" s="39"/>
      <c r="D2" s="11" t="s">
        <v>0</v>
      </c>
      <c r="E2" s="11"/>
      <c r="F2" s="54" t="s">
        <v>180</v>
      </c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5" t="s">
        <v>181</v>
      </c>
      <c r="G3" s="13"/>
      <c r="H3" s="13"/>
      <c r="I3" s="5"/>
      <c r="J3" s="5"/>
      <c r="K3" s="5"/>
      <c r="L3" s="5"/>
      <c r="M3" s="5"/>
      <c r="N3" s="5"/>
      <c r="O3" s="5"/>
      <c r="P3" s="5"/>
      <c r="Q3" s="5"/>
      <c r="R3" s="5"/>
      <c r="S3" s="78"/>
    </row>
    <row r="4" spans="1:19" x14ac:dyDescent="0.25">
      <c r="A4" s="1"/>
      <c r="B4" s="22"/>
      <c r="C4" s="40"/>
      <c r="D4" s="13" t="s">
        <v>2</v>
      </c>
      <c r="E4" s="13"/>
      <c r="F4" s="56" t="s">
        <v>181</v>
      </c>
      <c r="G4" s="14"/>
      <c r="H4" s="14"/>
      <c r="I4" s="7"/>
      <c r="J4" s="7"/>
      <c r="K4" s="7"/>
      <c r="L4" s="6"/>
      <c r="M4" s="6"/>
      <c r="N4" s="6"/>
      <c r="O4" s="6"/>
      <c r="P4" s="6"/>
      <c r="Q4" s="6"/>
      <c r="R4" s="6"/>
      <c r="S4" s="79"/>
    </row>
    <row r="5" spans="1:19" x14ac:dyDescent="0.25">
      <c r="A5" s="1"/>
      <c r="B5" s="22"/>
      <c r="C5" s="40"/>
      <c r="D5" s="13" t="s">
        <v>3</v>
      </c>
      <c r="E5" s="13"/>
      <c r="F5" s="57" t="s">
        <v>7</v>
      </c>
      <c r="G5" s="15"/>
      <c r="H5" s="15"/>
      <c r="I5" s="6"/>
      <c r="J5" s="6"/>
      <c r="K5" s="6"/>
      <c r="L5" s="6"/>
      <c r="M5" s="6"/>
      <c r="N5" s="6"/>
      <c r="O5" s="6"/>
      <c r="P5" s="6"/>
      <c r="Q5" s="6"/>
      <c r="R5" s="6"/>
      <c r="S5" s="79"/>
    </row>
    <row r="6" spans="1:19" x14ac:dyDescent="0.25">
      <c r="A6" s="1"/>
      <c r="B6" s="23"/>
      <c r="C6" s="41"/>
      <c r="D6" s="16"/>
      <c r="E6" s="16"/>
      <c r="F6" s="17"/>
      <c r="G6" s="15"/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79"/>
    </row>
    <row r="7" spans="1:19" x14ac:dyDescent="0.25">
      <c r="A7" s="1"/>
      <c r="B7" s="24"/>
      <c r="C7" s="42"/>
      <c r="D7" s="18"/>
      <c r="E7" s="18"/>
      <c r="F7" s="19"/>
      <c r="G7" s="18"/>
      <c r="H7" s="18"/>
      <c r="I7" s="8"/>
      <c r="J7" s="8"/>
      <c r="K7" s="8"/>
      <c r="L7" s="8"/>
      <c r="M7" s="8"/>
      <c r="N7" s="8"/>
      <c r="O7" s="8"/>
      <c r="P7" s="8"/>
      <c r="Q7" s="8"/>
      <c r="R7" s="8"/>
      <c r="S7" s="79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18"/>
      <c r="I8" s="8"/>
      <c r="J8" s="8"/>
      <c r="K8" s="8"/>
      <c r="L8" s="8"/>
      <c r="M8" s="8"/>
      <c r="N8" s="8"/>
      <c r="O8" s="8"/>
      <c r="P8" s="8"/>
      <c r="Q8" s="8"/>
      <c r="R8" s="8"/>
      <c r="S8" s="79"/>
    </row>
    <row r="9" spans="1:19" ht="15.75" thickBot="1" x14ac:dyDescent="0.3">
      <c r="A9" s="1"/>
      <c r="B9" s="30" t="s">
        <v>4</v>
      </c>
      <c r="C9" s="30" t="s">
        <v>165</v>
      </c>
      <c r="D9" s="30" t="s">
        <v>8</v>
      </c>
      <c r="E9" s="31" t="s">
        <v>43</v>
      </c>
      <c r="F9" s="30" t="s">
        <v>78</v>
      </c>
      <c r="G9" s="31" t="s">
        <v>97</v>
      </c>
      <c r="H9" s="30" t="s">
        <v>178</v>
      </c>
      <c r="I9" s="30" t="s">
        <v>125</v>
      </c>
      <c r="J9" s="30" t="s">
        <v>177</v>
      </c>
      <c r="K9" s="30" t="s">
        <v>142</v>
      </c>
      <c r="L9" s="31" t="s">
        <v>164</v>
      </c>
      <c r="M9" s="30" t="s">
        <v>184</v>
      </c>
      <c r="N9" s="30" t="s">
        <v>185</v>
      </c>
      <c r="O9" s="30" t="s">
        <v>176</v>
      </c>
      <c r="P9" s="30" t="s">
        <v>186</v>
      </c>
      <c r="Q9" s="30" t="s">
        <v>187</v>
      </c>
      <c r="R9" s="32" t="s">
        <v>174</v>
      </c>
      <c r="S9" s="32" t="s">
        <v>175</v>
      </c>
    </row>
    <row r="10" spans="1:19" ht="36.75" thickBot="1" x14ac:dyDescent="0.3">
      <c r="A10" s="1"/>
      <c r="B10" s="38">
        <f>ROW(B10) - ROW($B$9)</f>
        <v>1</v>
      </c>
      <c r="C10" s="58" t="s">
        <v>166</v>
      </c>
      <c r="D10" s="46" t="s">
        <v>9</v>
      </c>
      <c r="E10" s="47" t="s">
        <v>44</v>
      </c>
      <c r="F10" s="46" t="s">
        <v>79</v>
      </c>
      <c r="G10" s="47" t="s">
        <v>98</v>
      </c>
      <c r="H10" s="46" t="s">
        <v>179</v>
      </c>
      <c r="I10" s="46" t="s">
        <v>126</v>
      </c>
      <c r="J10" s="46" t="s">
        <v>183</v>
      </c>
      <c r="K10" s="46" t="s">
        <v>143</v>
      </c>
      <c r="L10" s="47">
        <v>21</v>
      </c>
      <c r="M10" s="46">
        <f>L10*6</f>
        <v>126</v>
      </c>
      <c r="N10" s="46">
        <v>150</v>
      </c>
      <c r="O10" s="63" t="s">
        <v>188</v>
      </c>
      <c r="P10" s="64">
        <v>7.7000000000000002E-3</v>
      </c>
      <c r="Q10" s="64">
        <f>P10*N10</f>
        <v>1.155</v>
      </c>
      <c r="R10" s="48"/>
      <c r="S10" s="49"/>
    </row>
    <row r="11" spans="1:19" ht="16.5" thickBot="1" x14ac:dyDescent="0.3">
      <c r="A11" s="1"/>
      <c r="B11" s="38">
        <f t="shared" ref="B11:B43" si="0">ROW(B11) - ROW($B$9)</f>
        <v>2</v>
      </c>
      <c r="C11" s="59" t="s">
        <v>166</v>
      </c>
      <c r="D11" s="50" t="s">
        <v>10</v>
      </c>
      <c r="E11" s="51" t="s">
        <v>45</v>
      </c>
      <c r="F11" s="50" t="s">
        <v>80</v>
      </c>
      <c r="G11" s="51" t="s">
        <v>99</v>
      </c>
      <c r="H11" s="50" t="s">
        <v>179</v>
      </c>
      <c r="I11" s="50" t="s">
        <v>127</v>
      </c>
      <c r="J11" s="50" t="s">
        <v>189</v>
      </c>
      <c r="K11" s="50" t="s">
        <v>144</v>
      </c>
      <c r="L11" s="51">
        <v>2</v>
      </c>
      <c r="M11" s="62">
        <f t="shared" ref="M11:M43" si="1">L11*6</f>
        <v>12</v>
      </c>
      <c r="N11" s="50">
        <v>15</v>
      </c>
      <c r="O11" s="66" t="s">
        <v>188</v>
      </c>
      <c r="P11" s="65">
        <v>8.4199999999999997E-2</v>
      </c>
      <c r="Q11" s="67">
        <f t="shared" ref="Q11:Q43" si="2">P11*N11</f>
        <v>1.2629999999999999</v>
      </c>
      <c r="R11" s="52"/>
      <c r="S11" s="53"/>
    </row>
    <row r="12" spans="1:19" ht="16.5" thickBot="1" x14ac:dyDescent="0.3">
      <c r="A12" s="1"/>
      <c r="B12" s="38">
        <f>ROW(B12) - ROW($B$9)</f>
        <v>3</v>
      </c>
      <c r="C12" s="58" t="s">
        <v>166</v>
      </c>
      <c r="D12" s="46" t="s">
        <v>11</v>
      </c>
      <c r="E12" s="47" t="s">
        <v>46</v>
      </c>
      <c r="F12" s="46" t="s">
        <v>80</v>
      </c>
      <c r="G12" s="47" t="s">
        <v>100</v>
      </c>
      <c r="H12" s="46" t="s">
        <v>179</v>
      </c>
      <c r="I12" s="46" t="s">
        <v>128</v>
      </c>
      <c r="J12" s="46" t="s">
        <v>190</v>
      </c>
      <c r="K12" s="46" t="s">
        <v>145</v>
      </c>
      <c r="L12" s="47">
        <v>4</v>
      </c>
      <c r="M12" s="46">
        <f t="shared" si="1"/>
        <v>24</v>
      </c>
      <c r="N12" s="46">
        <v>40</v>
      </c>
      <c r="O12" s="63" t="s">
        <v>188</v>
      </c>
      <c r="P12" s="64">
        <v>3.49E-2</v>
      </c>
      <c r="Q12" s="64">
        <f t="shared" si="2"/>
        <v>1.3959999999999999</v>
      </c>
      <c r="R12" s="48"/>
      <c r="S12" s="61"/>
    </row>
    <row r="13" spans="1:19" ht="16.5" thickBot="1" x14ac:dyDescent="0.3">
      <c r="A13" s="1"/>
      <c r="B13" s="38">
        <f t="shared" si="0"/>
        <v>4</v>
      </c>
      <c r="C13" s="59" t="s">
        <v>166</v>
      </c>
      <c r="D13" s="50" t="s">
        <v>12</v>
      </c>
      <c r="E13" s="51" t="s">
        <v>47</v>
      </c>
      <c r="F13" s="50" t="s">
        <v>80</v>
      </c>
      <c r="G13" s="51" t="s">
        <v>101</v>
      </c>
      <c r="H13" s="50" t="s">
        <v>179</v>
      </c>
      <c r="I13" s="50" t="s">
        <v>126</v>
      </c>
      <c r="J13" s="50" t="s">
        <v>191</v>
      </c>
      <c r="K13" s="50" t="s">
        <v>146</v>
      </c>
      <c r="L13" s="51">
        <v>3</v>
      </c>
      <c r="M13" s="62">
        <f t="shared" si="1"/>
        <v>18</v>
      </c>
      <c r="N13" s="50">
        <v>50</v>
      </c>
      <c r="O13" s="66" t="s">
        <v>188</v>
      </c>
      <c r="P13" s="65">
        <v>5.4999999999999997E-3</v>
      </c>
      <c r="Q13" s="67">
        <f t="shared" si="2"/>
        <v>0.27499999999999997</v>
      </c>
      <c r="R13" s="52"/>
      <c r="S13" s="53"/>
    </row>
    <row r="14" spans="1:19" ht="24.75" thickBot="1" x14ac:dyDescent="0.3">
      <c r="A14" s="1"/>
      <c r="B14" s="38">
        <f>ROW(B14) - ROW($B$9)</f>
        <v>5</v>
      </c>
      <c r="C14" s="58" t="s">
        <v>166</v>
      </c>
      <c r="D14" s="46" t="s">
        <v>13</v>
      </c>
      <c r="E14" s="47" t="s">
        <v>48</v>
      </c>
      <c r="F14" s="46" t="s">
        <v>80</v>
      </c>
      <c r="G14" s="47" t="s">
        <v>102</v>
      </c>
      <c r="H14" s="46" t="s">
        <v>179</v>
      </c>
      <c r="I14" s="46" t="s">
        <v>127</v>
      </c>
      <c r="J14" s="46" t="s">
        <v>192</v>
      </c>
      <c r="K14" s="46" t="s">
        <v>147</v>
      </c>
      <c r="L14" s="47">
        <v>10</v>
      </c>
      <c r="M14" s="46">
        <f t="shared" si="1"/>
        <v>60</v>
      </c>
      <c r="N14" s="46">
        <v>100</v>
      </c>
      <c r="O14" s="63" t="s">
        <v>188</v>
      </c>
      <c r="P14" s="64">
        <v>7.6E-3</v>
      </c>
      <c r="Q14" s="64">
        <f t="shared" si="2"/>
        <v>0.76</v>
      </c>
      <c r="R14" s="48"/>
      <c r="S14" s="61"/>
    </row>
    <row r="15" spans="1:19" ht="16.5" thickBot="1" x14ac:dyDescent="0.3">
      <c r="A15" s="1"/>
      <c r="B15" s="38">
        <f t="shared" si="0"/>
        <v>6</v>
      </c>
      <c r="C15" s="59" t="s">
        <v>166</v>
      </c>
      <c r="D15" s="50" t="s">
        <v>14</v>
      </c>
      <c r="E15" s="51" t="s">
        <v>49</v>
      </c>
      <c r="F15" s="50" t="s">
        <v>80</v>
      </c>
      <c r="G15" s="51" t="s">
        <v>103</v>
      </c>
      <c r="H15" s="50" t="s">
        <v>179</v>
      </c>
      <c r="I15" s="50" t="s">
        <v>129</v>
      </c>
      <c r="J15" s="50" t="s">
        <v>193</v>
      </c>
      <c r="K15" s="50" t="s">
        <v>148</v>
      </c>
      <c r="L15" s="51">
        <v>3</v>
      </c>
      <c r="M15" s="62">
        <f t="shared" si="1"/>
        <v>18</v>
      </c>
      <c r="N15" s="50">
        <v>50</v>
      </c>
      <c r="O15" s="66" t="s">
        <v>188</v>
      </c>
      <c r="P15" s="65">
        <v>8.0999999999999996E-3</v>
      </c>
      <c r="Q15" s="67">
        <f t="shared" si="2"/>
        <v>0.40499999999999997</v>
      </c>
      <c r="R15" s="52"/>
      <c r="S15" s="53"/>
    </row>
    <row r="16" spans="1:19" ht="16.5" thickBot="1" x14ac:dyDescent="0.3">
      <c r="A16" s="1"/>
      <c r="B16" s="38">
        <f>ROW(B16) - ROW($B$9)</f>
        <v>7</v>
      </c>
      <c r="C16" s="58" t="s">
        <v>166</v>
      </c>
      <c r="D16" s="46" t="s">
        <v>15</v>
      </c>
      <c r="E16" s="47" t="s">
        <v>50</v>
      </c>
      <c r="F16" s="46" t="s">
        <v>80</v>
      </c>
      <c r="G16" s="69" t="s">
        <v>104</v>
      </c>
      <c r="H16" s="46" t="s">
        <v>221</v>
      </c>
      <c r="I16" s="46" t="s">
        <v>130</v>
      </c>
      <c r="J16" s="46" t="s">
        <v>220</v>
      </c>
      <c r="K16" s="46" t="s">
        <v>149</v>
      </c>
      <c r="L16" s="47">
        <v>1</v>
      </c>
      <c r="M16" s="46">
        <f t="shared" si="1"/>
        <v>6</v>
      </c>
      <c r="N16" s="46">
        <v>50</v>
      </c>
      <c r="O16" s="63" t="s">
        <v>188</v>
      </c>
      <c r="P16" s="64">
        <v>5.3E-3</v>
      </c>
      <c r="Q16" s="64">
        <f t="shared" si="2"/>
        <v>0.26500000000000001</v>
      </c>
      <c r="R16" s="48"/>
      <c r="S16" s="61"/>
    </row>
    <row r="17" spans="1:19" ht="16.5" thickBot="1" x14ac:dyDescent="0.3">
      <c r="A17" s="1"/>
      <c r="B17" s="38">
        <f t="shared" si="0"/>
        <v>8</v>
      </c>
      <c r="C17" s="59" t="s">
        <v>166</v>
      </c>
      <c r="D17" s="50" t="s">
        <v>16</v>
      </c>
      <c r="E17" s="51" t="s">
        <v>51</v>
      </c>
      <c r="F17" s="50" t="s">
        <v>80</v>
      </c>
      <c r="G17" s="51" t="s">
        <v>105</v>
      </c>
      <c r="H17" s="50" t="s">
        <v>179</v>
      </c>
      <c r="I17" s="50" t="s">
        <v>126</v>
      </c>
      <c r="J17" s="50" t="s">
        <v>194</v>
      </c>
      <c r="K17" s="50" t="s">
        <v>150</v>
      </c>
      <c r="L17" s="51">
        <v>2</v>
      </c>
      <c r="M17" s="62">
        <f t="shared" si="1"/>
        <v>12</v>
      </c>
      <c r="N17" s="50">
        <v>50</v>
      </c>
      <c r="O17" s="66" t="s">
        <v>188</v>
      </c>
      <c r="P17" s="65">
        <v>6.3E-3</v>
      </c>
      <c r="Q17" s="67">
        <f t="shared" si="2"/>
        <v>0.315</v>
      </c>
      <c r="R17" s="52"/>
      <c r="S17" s="53"/>
    </row>
    <row r="18" spans="1:19" ht="16.5" thickBot="1" x14ac:dyDescent="0.3">
      <c r="A18" s="1"/>
      <c r="B18" s="38">
        <f>ROW(B18) - ROW($B$9)</f>
        <v>9</v>
      </c>
      <c r="C18" s="58" t="s">
        <v>166</v>
      </c>
      <c r="D18" s="46" t="s">
        <v>17</v>
      </c>
      <c r="E18" s="47" t="s">
        <v>52</v>
      </c>
      <c r="F18" s="46" t="s">
        <v>80</v>
      </c>
      <c r="G18" s="47" t="s">
        <v>106</v>
      </c>
      <c r="H18" s="46" t="s">
        <v>179</v>
      </c>
      <c r="I18" s="46" t="s">
        <v>129</v>
      </c>
      <c r="J18" s="46" t="s">
        <v>195</v>
      </c>
      <c r="K18" s="46" t="s">
        <v>151</v>
      </c>
      <c r="L18" s="47">
        <v>2</v>
      </c>
      <c r="M18" s="46">
        <f t="shared" si="1"/>
        <v>12</v>
      </c>
      <c r="N18" s="46">
        <v>100</v>
      </c>
      <c r="O18" s="63" t="s">
        <v>188</v>
      </c>
      <c r="P18" s="64">
        <v>3.3E-3</v>
      </c>
      <c r="Q18" s="64">
        <f t="shared" si="2"/>
        <v>0.33</v>
      </c>
      <c r="R18" s="48"/>
      <c r="S18" s="61"/>
    </row>
    <row r="19" spans="1:19" ht="16.5" thickBot="1" x14ac:dyDescent="0.3">
      <c r="A19" s="1"/>
      <c r="B19" s="38">
        <f t="shared" si="0"/>
        <v>10</v>
      </c>
      <c r="C19" s="59" t="s">
        <v>166</v>
      </c>
      <c r="D19" s="50" t="s">
        <v>18</v>
      </c>
      <c r="E19" s="51" t="s">
        <v>53</v>
      </c>
      <c r="F19" s="50" t="s">
        <v>81</v>
      </c>
      <c r="G19" s="51" t="s">
        <v>107</v>
      </c>
      <c r="H19" s="50" t="s">
        <v>179</v>
      </c>
      <c r="I19" s="50" t="s">
        <v>127</v>
      </c>
      <c r="J19" s="50" t="s">
        <v>196</v>
      </c>
      <c r="K19" s="50" t="s">
        <v>150</v>
      </c>
      <c r="L19" s="51">
        <v>3</v>
      </c>
      <c r="M19" s="62">
        <f t="shared" si="1"/>
        <v>18</v>
      </c>
      <c r="N19" s="50">
        <v>20</v>
      </c>
      <c r="O19" s="66" t="s">
        <v>188</v>
      </c>
      <c r="P19" s="65">
        <v>0.14849999999999999</v>
      </c>
      <c r="Q19" s="67">
        <f t="shared" si="2"/>
        <v>2.9699999999999998</v>
      </c>
      <c r="R19" s="52"/>
      <c r="S19" s="53"/>
    </row>
    <row r="20" spans="1:19" ht="24.75" thickBot="1" x14ac:dyDescent="0.3">
      <c r="A20" s="1"/>
      <c r="B20" s="38">
        <f>ROW(B20) - ROW($B$9)</f>
        <v>11</v>
      </c>
      <c r="C20" s="58" t="s">
        <v>167</v>
      </c>
      <c r="D20" s="46" t="s">
        <v>19</v>
      </c>
      <c r="E20" s="47" t="s">
        <v>54</v>
      </c>
      <c r="F20" s="46" t="s">
        <v>82</v>
      </c>
      <c r="G20" s="69">
        <v>742792651</v>
      </c>
      <c r="H20" s="46" t="s">
        <v>222</v>
      </c>
      <c r="I20" s="46" t="s">
        <v>131</v>
      </c>
      <c r="J20" s="46" t="s">
        <v>223</v>
      </c>
      <c r="K20" s="46" t="s">
        <v>179</v>
      </c>
      <c r="L20" s="47">
        <v>1</v>
      </c>
      <c r="M20" s="46">
        <f t="shared" si="1"/>
        <v>6</v>
      </c>
      <c r="N20" s="46">
        <v>100</v>
      </c>
      <c r="O20" s="63" t="s">
        <v>188</v>
      </c>
      <c r="P20" s="64">
        <v>4.1000000000000003E-3</v>
      </c>
      <c r="Q20" s="64">
        <f t="shared" si="2"/>
        <v>0.41000000000000003</v>
      </c>
      <c r="R20" s="48"/>
      <c r="S20" s="61"/>
    </row>
    <row r="21" spans="1:19" ht="24.75" thickBot="1" x14ac:dyDescent="0.3">
      <c r="A21" s="1"/>
      <c r="B21" s="38">
        <f t="shared" si="0"/>
        <v>12</v>
      </c>
      <c r="C21" s="59" t="s">
        <v>168</v>
      </c>
      <c r="D21" s="50" t="s">
        <v>20</v>
      </c>
      <c r="E21" s="51" t="s">
        <v>55</v>
      </c>
      <c r="F21" s="50" t="s">
        <v>83</v>
      </c>
      <c r="G21" s="51" t="s">
        <v>108</v>
      </c>
      <c r="H21" s="50" t="s">
        <v>179</v>
      </c>
      <c r="I21" s="50" t="s">
        <v>132</v>
      </c>
      <c r="J21" s="50" t="s">
        <v>197</v>
      </c>
      <c r="K21" s="50" t="s">
        <v>179</v>
      </c>
      <c r="L21" s="51">
        <v>1</v>
      </c>
      <c r="M21" s="62">
        <f t="shared" si="1"/>
        <v>6</v>
      </c>
      <c r="N21" s="50">
        <v>20</v>
      </c>
      <c r="O21" s="66" t="s">
        <v>188</v>
      </c>
      <c r="P21" s="65">
        <v>2.3400000000000001E-2</v>
      </c>
      <c r="Q21" s="67">
        <f t="shared" si="2"/>
        <v>0.46800000000000003</v>
      </c>
      <c r="R21" s="52"/>
      <c r="S21" s="53"/>
    </row>
    <row r="22" spans="1:19" ht="24.75" thickBot="1" x14ac:dyDescent="0.3">
      <c r="A22" s="1"/>
      <c r="B22" s="38">
        <f>ROW(B22) - ROW($B$9)</f>
        <v>13</v>
      </c>
      <c r="C22" s="58" t="s">
        <v>168</v>
      </c>
      <c r="D22" s="46" t="s">
        <v>21</v>
      </c>
      <c r="E22" s="47" t="s">
        <v>56</v>
      </c>
      <c r="F22" s="46" t="s">
        <v>84</v>
      </c>
      <c r="G22" s="46" t="s">
        <v>152</v>
      </c>
      <c r="H22" s="46" t="s">
        <v>179</v>
      </c>
      <c r="I22" s="46" t="s">
        <v>133</v>
      </c>
      <c r="J22" s="46" t="s">
        <v>198</v>
      </c>
      <c r="K22" s="60" t="s">
        <v>179</v>
      </c>
      <c r="L22" s="47">
        <v>1</v>
      </c>
      <c r="M22" s="46">
        <f t="shared" si="1"/>
        <v>6</v>
      </c>
      <c r="N22" s="46">
        <v>10</v>
      </c>
      <c r="O22" s="63" t="s">
        <v>188</v>
      </c>
      <c r="P22" s="64">
        <v>4.4699999999999997E-2</v>
      </c>
      <c r="Q22" s="64">
        <f t="shared" si="2"/>
        <v>0.44699999999999995</v>
      </c>
      <c r="R22" s="48"/>
      <c r="S22" s="61"/>
    </row>
    <row r="23" spans="1:19" ht="16.5" thickBot="1" x14ac:dyDescent="0.3">
      <c r="A23" s="1"/>
      <c r="B23" s="38">
        <f t="shared" si="0"/>
        <v>14</v>
      </c>
      <c r="C23" s="59" t="s">
        <v>169</v>
      </c>
      <c r="D23" s="50" t="s">
        <v>22</v>
      </c>
      <c r="E23" s="51" t="s">
        <v>57</v>
      </c>
      <c r="F23" s="50" t="s">
        <v>85</v>
      </c>
      <c r="G23" s="68">
        <v>61300311121</v>
      </c>
      <c r="H23" s="50" t="s">
        <v>210</v>
      </c>
      <c r="I23" s="50" t="s">
        <v>131</v>
      </c>
      <c r="J23" s="50" t="s">
        <v>211</v>
      </c>
      <c r="K23" s="50" t="s">
        <v>179</v>
      </c>
      <c r="L23" s="51">
        <v>1</v>
      </c>
      <c r="M23" s="62">
        <f t="shared" si="1"/>
        <v>6</v>
      </c>
      <c r="N23" s="50">
        <v>50</v>
      </c>
      <c r="O23" s="66" t="s">
        <v>188</v>
      </c>
      <c r="P23" s="65">
        <v>1.8700000000000001E-2</v>
      </c>
      <c r="Q23" s="67">
        <f t="shared" si="2"/>
        <v>0.93500000000000005</v>
      </c>
      <c r="R23" s="52"/>
      <c r="S23" s="53"/>
    </row>
    <row r="24" spans="1:19" ht="16.5" thickBot="1" x14ac:dyDescent="0.3">
      <c r="A24" s="1"/>
      <c r="B24" s="38">
        <f>ROW(B24) - ROW($B$9)</f>
        <v>15</v>
      </c>
      <c r="C24" s="58" t="s">
        <v>169</v>
      </c>
      <c r="D24" s="46" t="s">
        <v>23</v>
      </c>
      <c r="E24" s="47" t="s">
        <v>58</v>
      </c>
      <c r="F24" s="46" t="s">
        <v>86</v>
      </c>
      <c r="G24" s="69">
        <v>61300511121</v>
      </c>
      <c r="H24" s="46" t="s">
        <v>212</v>
      </c>
      <c r="I24" s="46" t="s">
        <v>131</v>
      </c>
      <c r="J24" s="46" t="s">
        <v>213</v>
      </c>
      <c r="K24" s="46" t="s">
        <v>179</v>
      </c>
      <c r="L24" s="47">
        <v>1</v>
      </c>
      <c r="M24" s="46">
        <f t="shared" si="1"/>
        <v>6</v>
      </c>
      <c r="N24" s="46">
        <v>20</v>
      </c>
      <c r="O24" s="63" t="s">
        <v>188</v>
      </c>
      <c r="P24" s="64">
        <v>3.2599999999999997E-2</v>
      </c>
      <c r="Q24" s="64">
        <f t="shared" si="2"/>
        <v>0.65199999999999991</v>
      </c>
      <c r="R24" s="48"/>
      <c r="S24" s="61"/>
    </row>
    <row r="25" spans="1:19" ht="16.5" thickBot="1" x14ac:dyDescent="0.3">
      <c r="A25" s="1"/>
      <c r="B25" s="38">
        <f t="shared" si="0"/>
        <v>16</v>
      </c>
      <c r="C25" s="59" t="s">
        <v>169</v>
      </c>
      <c r="D25" s="50" t="s">
        <v>24</v>
      </c>
      <c r="E25" s="51" t="s">
        <v>59</v>
      </c>
      <c r="F25" s="50" t="s">
        <v>87</v>
      </c>
      <c r="G25" s="68">
        <v>61300711121</v>
      </c>
      <c r="H25" s="50" t="s">
        <v>214</v>
      </c>
      <c r="I25" s="50" t="s">
        <v>131</v>
      </c>
      <c r="J25" s="50" t="s">
        <v>215</v>
      </c>
      <c r="K25" s="50" t="s">
        <v>179</v>
      </c>
      <c r="L25" s="51">
        <v>2</v>
      </c>
      <c r="M25" s="62">
        <f t="shared" si="1"/>
        <v>12</v>
      </c>
      <c r="N25" s="50">
        <v>20</v>
      </c>
      <c r="O25" s="66" t="s">
        <v>188</v>
      </c>
      <c r="P25" s="65">
        <v>3.85E-2</v>
      </c>
      <c r="Q25" s="67">
        <f t="shared" si="2"/>
        <v>0.77</v>
      </c>
      <c r="R25" s="52"/>
      <c r="S25" s="53"/>
    </row>
    <row r="26" spans="1:19" ht="16.5" thickBot="1" x14ac:dyDescent="0.3">
      <c r="A26" s="1"/>
      <c r="B26" s="38">
        <f>ROW(B26) - ROW($B$9)</f>
        <v>17</v>
      </c>
      <c r="C26" s="58" t="s">
        <v>169</v>
      </c>
      <c r="D26" s="46" t="s">
        <v>25</v>
      </c>
      <c r="E26" s="47" t="s">
        <v>60</v>
      </c>
      <c r="F26" s="46" t="s">
        <v>88</v>
      </c>
      <c r="G26" s="69">
        <v>61300411121</v>
      </c>
      <c r="H26" s="46" t="s">
        <v>216</v>
      </c>
      <c r="I26" s="46" t="s">
        <v>131</v>
      </c>
      <c r="J26" s="46" t="s">
        <v>217</v>
      </c>
      <c r="K26" s="46" t="s">
        <v>179</v>
      </c>
      <c r="L26" s="47">
        <v>2</v>
      </c>
      <c r="M26" s="46">
        <f t="shared" si="1"/>
        <v>12</v>
      </c>
      <c r="N26" s="46">
        <v>40</v>
      </c>
      <c r="O26" s="63" t="s">
        <v>188</v>
      </c>
      <c r="P26" s="64">
        <v>2.5499999999999998E-2</v>
      </c>
      <c r="Q26" s="64">
        <v>1.6</v>
      </c>
      <c r="R26" s="48"/>
      <c r="S26" s="61"/>
    </row>
    <row r="27" spans="1:19" ht="16.5" thickBot="1" x14ac:dyDescent="0.3">
      <c r="A27" s="1"/>
      <c r="B27" s="38">
        <f t="shared" si="0"/>
        <v>18</v>
      </c>
      <c r="C27" s="59" t="s">
        <v>169</v>
      </c>
      <c r="D27" s="50" t="s">
        <v>26</v>
      </c>
      <c r="E27" s="51" t="s">
        <v>61</v>
      </c>
      <c r="F27" s="50" t="s">
        <v>89</v>
      </c>
      <c r="G27" s="68" t="s">
        <v>109</v>
      </c>
      <c r="H27" s="50" t="s">
        <v>218</v>
      </c>
      <c r="I27" s="50" t="s">
        <v>134</v>
      </c>
      <c r="J27" s="50" t="s">
        <v>219</v>
      </c>
      <c r="K27" s="50" t="s">
        <v>179</v>
      </c>
      <c r="L27" s="51">
        <v>1</v>
      </c>
      <c r="M27" s="62">
        <f t="shared" si="1"/>
        <v>6</v>
      </c>
      <c r="N27" s="50">
        <v>10</v>
      </c>
      <c r="O27" s="66" t="s">
        <v>188</v>
      </c>
      <c r="P27" s="65">
        <v>6.7799999999999999E-2</v>
      </c>
      <c r="Q27" s="67">
        <f t="shared" si="2"/>
        <v>0.67799999999999994</v>
      </c>
      <c r="R27" s="52"/>
      <c r="S27" s="53"/>
    </row>
    <row r="28" spans="1:19" ht="30.75" thickBot="1" x14ac:dyDescent="0.3">
      <c r="A28" s="1"/>
      <c r="B28" s="38">
        <f>ROW(B28) - ROW($B$9)</f>
        <v>19</v>
      </c>
      <c r="C28" s="58" t="s">
        <v>170</v>
      </c>
      <c r="D28" s="46" t="s">
        <v>27</v>
      </c>
      <c r="E28" s="47" t="s">
        <v>62</v>
      </c>
      <c r="F28" s="46" t="s">
        <v>182</v>
      </c>
      <c r="G28" s="47" t="s">
        <v>110</v>
      </c>
      <c r="H28" s="46" t="s">
        <v>179</v>
      </c>
      <c r="I28" s="46" t="s">
        <v>135</v>
      </c>
      <c r="J28" s="46" t="s">
        <v>179</v>
      </c>
      <c r="K28" s="46" t="s">
        <v>179</v>
      </c>
      <c r="L28" s="47">
        <v>3</v>
      </c>
      <c r="M28" s="46">
        <f t="shared" si="1"/>
        <v>18</v>
      </c>
      <c r="N28" s="46">
        <v>20</v>
      </c>
      <c r="O28" s="63" t="s">
        <v>224</v>
      </c>
      <c r="P28" s="64">
        <v>4.8600000000000003</v>
      </c>
      <c r="Q28" s="64">
        <f t="shared" si="2"/>
        <v>97.2</v>
      </c>
      <c r="R28" s="70" t="s">
        <v>225</v>
      </c>
      <c r="S28" s="61"/>
    </row>
    <row r="29" spans="1:19" ht="24.75" thickBot="1" x14ac:dyDescent="0.3">
      <c r="A29" s="1"/>
      <c r="B29" s="38">
        <f t="shared" si="0"/>
        <v>20</v>
      </c>
      <c r="C29" s="59" t="s">
        <v>171</v>
      </c>
      <c r="D29" s="50" t="s">
        <v>28</v>
      </c>
      <c r="E29" s="51" t="s">
        <v>63</v>
      </c>
      <c r="F29" s="50" t="s">
        <v>90</v>
      </c>
      <c r="G29" s="51" t="s">
        <v>111</v>
      </c>
      <c r="H29" s="50" t="s">
        <v>179</v>
      </c>
      <c r="I29" s="50" t="s">
        <v>129</v>
      </c>
      <c r="J29" s="50" t="s">
        <v>199</v>
      </c>
      <c r="K29" s="50" t="s">
        <v>153</v>
      </c>
      <c r="L29" s="51">
        <v>13</v>
      </c>
      <c r="M29" s="62">
        <f t="shared" si="1"/>
        <v>78</v>
      </c>
      <c r="N29" s="50">
        <v>100</v>
      </c>
      <c r="O29" s="66" t="s">
        <v>188</v>
      </c>
      <c r="P29" s="65">
        <v>1.5E-3</v>
      </c>
      <c r="Q29" s="67">
        <f t="shared" si="2"/>
        <v>0.15</v>
      </c>
      <c r="R29" s="52"/>
      <c r="S29" s="53"/>
    </row>
    <row r="30" spans="1:19" ht="16.5" thickBot="1" x14ac:dyDescent="0.3">
      <c r="A30" s="1"/>
      <c r="B30" s="38">
        <f>ROW(B30) - ROW($B$9)</f>
        <v>21</v>
      </c>
      <c r="C30" s="58" t="s">
        <v>171</v>
      </c>
      <c r="D30" s="46" t="s">
        <v>29</v>
      </c>
      <c r="E30" s="47" t="s">
        <v>64</v>
      </c>
      <c r="F30" s="46" t="s">
        <v>90</v>
      </c>
      <c r="G30" s="47" t="s">
        <v>112</v>
      </c>
      <c r="H30" s="46" t="s">
        <v>179</v>
      </c>
      <c r="I30" s="46" t="s">
        <v>129</v>
      </c>
      <c r="J30" s="46" t="s">
        <v>200</v>
      </c>
      <c r="K30" s="46" t="s">
        <v>154</v>
      </c>
      <c r="L30" s="47">
        <v>6</v>
      </c>
      <c r="M30" s="46">
        <f t="shared" si="1"/>
        <v>36</v>
      </c>
      <c r="N30" s="46">
        <v>100</v>
      </c>
      <c r="O30" s="63" t="s">
        <v>188</v>
      </c>
      <c r="P30" s="64">
        <v>1.2999999999999999E-3</v>
      </c>
      <c r="Q30" s="64">
        <f t="shared" si="2"/>
        <v>0.13</v>
      </c>
      <c r="R30" s="48"/>
      <c r="S30" s="61"/>
    </row>
    <row r="31" spans="1:19" ht="24.75" thickBot="1" x14ac:dyDescent="0.3">
      <c r="A31" s="1"/>
      <c r="B31" s="38">
        <f t="shared" si="0"/>
        <v>22</v>
      </c>
      <c r="C31" s="59" t="s">
        <v>171</v>
      </c>
      <c r="D31" s="50" t="s">
        <v>30</v>
      </c>
      <c r="E31" s="51" t="s">
        <v>65</v>
      </c>
      <c r="F31" s="50" t="s">
        <v>90</v>
      </c>
      <c r="G31" s="51" t="s">
        <v>113</v>
      </c>
      <c r="H31" s="50" t="s">
        <v>179</v>
      </c>
      <c r="I31" s="50" t="s">
        <v>136</v>
      </c>
      <c r="J31" s="50" t="s">
        <v>201</v>
      </c>
      <c r="K31" s="50" t="s">
        <v>155</v>
      </c>
      <c r="L31" s="51">
        <v>7</v>
      </c>
      <c r="M31" s="62">
        <f t="shared" si="1"/>
        <v>42</v>
      </c>
      <c r="N31" s="50">
        <v>50</v>
      </c>
      <c r="O31" s="66" t="s">
        <v>188</v>
      </c>
      <c r="P31" s="65">
        <v>7.3000000000000001E-3</v>
      </c>
      <c r="Q31" s="67">
        <f t="shared" si="2"/>
        <v>0.36499999999999999</v>
      </c>
      <c r="R31" s="52"/>
      <c r="S31" s="53"/>
    </row>
    <row r="32" spans="1:19" ht="16.5" thickBot="1" x14ac:dyDescent="0.3">
      <c r="A32" s="1"/>
      <c r="B32" s="38">
        <f>ROW(B32) - ROW($B$9)</f>
        <v>23</v>
      </c>
      <c r="C32" s="58" t="s">
        <v>171</v>
      </c>
      <c r="D32" s="46" t="s">
        <v>31</v>
      </c>
      <c r="E32" s="47" t="s">
        <v>66</v>
      </c>
      <c r="F32" s="46" t="s">
        <v>90</v>
      </c>
      <c r="G32" s="47" t="s">
        <v>114</v>
      </c>
      <c r="H32" s="46" t="s">
        <v>179</v>
      </c>
      <c r="I32" s="46" t="s">
        <v>129</v>
      </c>
      <c r="J32" s="46" t="s">
        <v>202</v>
      </c>
      <c r="K32" s="46" t="s">
        <v>156</v>
      </c>
      <c r="L32" s="47">
        <v>2</v>
      </c>
      <c r="M32" s="46">
        <f t="shared" si="1"/>
        <v>12</v>
      </c>
      <c r="N32" s="46">
        <v>100</v>
      </c>
      <c r="O32" s="63" t="s">
        <v>188</v>
      </c>
      <c r="P32" s="64">
        <v>1.5E-3</v>
      </c>
      <c r="Q32" s="64">
        <f t="shared" si="2"/>
        <v>0.15</v>
      </c>
      <c r="R32" s="48"/>
      <c r="S32" s="61"/>
    </row>
    <row r="33" spans="1:19" ht="16.5" thickBot="1" x14ac:dyDescent="0.3">
      <c r="A33" s="1"/>
      <c r="B33" s="38">
        <f t="shared" si="0"/>
        <v>24</v>
      </c>
      <c r="C33" s="59" t="s">
        <v>171</v>
      </c>
      <c r="D33" s="50" t="s">
        <v>32</v>
      </c>
      <c r="E33" s="51" t="s">
        <v>67</v>
      </c>
      <c r="F33" s="50" t="s">
        <v>91</v>
      </c>
      <c r="G33" s="51" t="s">
        <v>115</v>
      </c>
      <c r="H33" s="50" t="s">
        <v>179</v>
      </c>
      <c r="I33" s="50" t="s">
        <v>129</v>
      </c>
      <c r="J33" s="50" t="s">
        <v>203</v>
      </c>
      <c r="K33" s="50" t="s">
        <v>157</v>
      </c>
      <c r="L33" s="51">
        <v>1</v>
      </c>
      <c r="M33" s="62">
        <f t="shared" si="1"/>
        <v>6</v>
      </c>
      <c r="N33" s="50">
        <v>100</v>
      </c>
      <c r="O33" s="66" t="s">
        <v>188</v>
      </c>
      <c r="P33" s="65">
        <v>5.9999999999999995E-4</v>
      </c>
      <c r="Q33" s="67">
        <f t="shared" si="2"/>
        <v>0.06</v>
      </c>
      <c r="R33" s="52"/>
      <c r="S33" s="53"/>
    </row>
    <row r="34" spans="1:19" ht="16.5" thickBot="1" x14ac:dyDescent="0.3">
      <c r="A34" s="1"/>
      <c r="B34" s="38">
        <f>ROW(B34) - ROW($B$9)</f>
        <v>25</v>
      </c>
      <c r="C34" s="58" t="s">
        <v>171</v>
      </c>
      <c r="D34" s="46" t="s">
        <v>33</v>
      </c>
      <c r="E34" s="47" t="s">
        <v>68</v>
      </c>
      <c r="F34" s="46" t="s">
        <v>90</v>
      </c>
      <c r="G34" s="47" t="s">
        <v>116</v>
      </c>
      <c r="H34" s="46" t="s">
        <v>179</v>
      </c>
      <c r="I34" s="46" t="s">
        <v>129</v>
      </c>
      <c r="J34" s="46" t="s">
        <v>204</v>
      </c>
      <c r="K34" s="46" t="s">
        <v>158</v>
      </c>
      <c r="L34" s="47">
        <v>1</v>
      </c>
      <c r="M34" s="46">
        <f t="shared" si="1"/>
        <v>6</v>
      </c>
      <c r="N34" s="46">
        <v>100</v>
      </c>
      <c r="O34" s="63" t="s">
        <v>188</v>
      </c>
      <c r="P34" s="64">
        <v>1.4E-3</v>
      </c>
      <c r="Q34" s="64">
        <f t="shared" si="2"/>
        <v>0.13999999999999999</v>
      </c>
      <c r="R34" s="48"/>
      <c r="S34" s="61"/>
    </row>
    <row r="35" spans="1:19" ht="16.5" thickBot="1" x14ac:dyDescent="0.3">
      <c r="A35" s="1"/>
      <c r="B35" s="38">
        <f t="shared" si="0"/>
        <v>26</v>
      </c>
      <c r="C35" s="59" t="s">
        <v>171</v>
      </c>
      <c r="D35" s="50" t="s">
        <v>34</v>
      </c>
      <c r="E35" s="51" t="s">
        <v>69</v>
      </c>
      <c r="F35" s="50" t="s">
        <v>90</v>
      </c>
      <c r="G35" s="51" t="s">
        <v>117</v>
      </c>
      <c r="H35" s="50" t="s">
        <v>179</v>
      </c>
      <c r="I35" s="50" t="s">
        <v>129</v>
      </c>
      <c r="J35" s="50" t="s">
        <v>205</v>
      </c>
      <c r="K35" s="50" t="s">
        <v>159</v>
      </c>
      <c r="L35" s="51">
        <v>1</v>
      </c>
      <c r="M35" s="62">
        <f t="shared" si="1"/>
        <v>6</v>
      </c>
      <c r="N35" s="50">
        <v>100</v>
      </c>
      <c r="O35" s="66" t="s">
        <v>188</v>
      </c>
      <c r="P35" s="65">
        <v>1.1000000000000001E-3</v>
      </c>
      <c r="Q35" s="67">
        <f t="shared" si="2"/>
        <v>0.11</v>
      </c>
      <c r="R35" s="52"/>
      <c r="S35" s="53"/>
    </row>
    <row r="36" spans="1:19" ht="16.5" thickBot="1" x14ac:dyDescent="0.3">
      <c r="A36" s="1"/>
      <c r="B36" s="38">
        <f>ROW(B36) - ROW($B$9)</f>
        <v>27</v>
      </c>
      <c r="C36" s="58" t="s">
        <v>171</v>
      </c>
      <c r="D36" s="46" t="s">
        <v>35</v>
      </c>
      <c r="E36" s="47" t="s">
        <v>70</v>
      </c>
      <c r="F36" s="46" t="s">
        <v>90</v>
      </c>
      <c r="G36" s="47" t="s">
        <v>118</v>
      </c>
      <c r="H36" s="46" t="s">
        <v>179</v>
      </c>
      <c r="I36" s="46" t="s">
        <v>129</v>
      </c>
      <c r="J36" s="46" t="s">
        <v>206</v>
      </c>
      <c r="K36" s="46" t="s">
        <v>160</v>
      </c>
      <c r="L36" s="47">
        <v>6</v>
      </c>
      <c r="M36" s="46">
        <f t="shared" si="1"/>
        <v>36</v>
      </c>
      <c r="N36" s="46">
        <v>100</v>
      </c>
      <c r="O36" s="63" t="s">
        <v>188</v>
      </c>
      <c r="P36" s="64">
        <v>3.5999999999999999E-3</v>
      </c>
      <c r="Q36" s="64">
        <f t="shared" si="2"/>
        <v>0.36</v>
      </c>
      <c r="R36" s="48"/>
      <c r="S36" s="61"/>
    </row>
    <row r="37" spans="1:19" ht="16.5" thickBot="1" x14ac:dyDescent="0.3">
      <c r="A37" s="1"/>
      <c r="B37" s="38">
        <f t="shared" si="0"/>
        <v>28</v>
      </c>
      <c r="C37" s="59" t="s">
        <v>171</v>
      </c>
      <c r="D37" s="50" t="s">
        <v>36</v>
      </c>
      <c r="E37" s="51" t="s">
        <v>71</v>
      </c>
      <c r="F37" s="50" t="s">
        <v>91</v>
      </c>
      <c r="G37" s="51" t="s">
        <v>119</v>
      </c>
      <c r="H37" s="50" t="s">
        <v>179</v>
      </c>
      <c r="I37" s="50" t="s">
        <v>137</v>
      </c>
      <c r="J37" s="50" t="s">
        <v>207</v>
      </c>
      <c r="K37" s="50" t="s">
        <v>161</v>
      </c>
      <c r="L37" s="51">
        <v>2</v>
      </c>
      <c r="M37" s="62">
        <f t="shared" si="1"/>
        <v>12</v>
      </c>
      <c r="N37" s="50">
        <v>20</v>
      </c>
      <c r="O37" s="66" t="s">
        <v>188</v>
      </c>
      <c r="P37" s="65">
        <v>3.5700000000000003E-2</v>
      </c>
      <c r="Q37" s="67">
        <f t="shared" si="2"/>
        <v>0.71400000000000008</v>
      </c>
      <c r="R37" s="52"/>
      <c r="S37" s="53"/>
    </row>
    <row r="38" spans="1:19" ht="16.5" thickBot="1" x14ac:dyDescent="0.3">
      <c r="A38" s="1"/>
      <c r="B38" s="38">
        <f>ROW(B38) - ROW($B$9)</f>
        <v>29</v>
      </c>
      <c r="C38" s="58" t="s">
        <v>171</v>
      </c>
      <c r="D38" s="46" t="s">
        <v>37</v>
      </c>
      <c r="E38" s="47" t="s">
        <v>72</v>
      </c>
      <c r="F38" s="46" t="s">
        <v>90</v>
      </c>
      <c r="G38" s="47" t="s">
        <v>120</v>
      </c>
      <c r="H38" s="46" t="s">
        <v>179</v>
      </c>
      <c r="I38" s="46" t="s">
        <v>127</v>
      </c>
      <c r="J38" s="46" t="s">
        <v>208</v>
      </c>
      <c r="K38" s="46" t="s">
        <v>162</v>
      </c>
      <c r="L38" s="47">
        <v>1</v>
      </c>
      <c r="M38" s="46">
        <f t="shared" si="1"/>
        <v>6</v>
      </c>
      <c r="N38" s="46">
        <v>20</v>
      </c>
      <c r="O38" s="63" t="s">
        <v>188</v>
      </c>
      <c r="P38" s="64">
        <v>3.27E-2</v>
      </c>
      <c r="Q38" s="64">
        <f t="shared" si="2"/>
        <v>0.65400000000000003</v>
      </c>
      <c r="R38" s="48"/>
      <c r="S38" s="61"/>
    </row>
    <row r="39" spans="1:19" ht="30.75" thickBot="1" x14ac:dyDescent="0.3">
      <c r="A39" s="1"/>
      <c r="B39" s="38">
        <f t="shared" si="0"/>
        <v>30</v>
      </c>
      <c r="C39" s="59" t="s">
        <v>172</v>
      </c>
      <c r="D39" s="50" t="s">
        <v>38</v>
      </c>
      <c r="E39" s="51" t="s">
        <v>73</v>
      </c>
      <c r="F39" s="50" t="s">
        <v>92</v>
      </c>
      <c r="G39" s="51" t="s">
        <v>121</v>
      </c>
      <c r="H39" s="50" t="s">
        <v>179</v>
      </c>
      <c r="I39" s="50" t="s">
        <v>138</v>
      </c>
      <c r="J39" s="50" t="s">
        <v>179</v>
      </c>
      <c r="K39" s="50" t="s">
        <v>179</v>
      </c>
      <c r="L39" s="51">
        <v>1</v>
      </c>
      <c r="M39" s="62">
        <f t="shared" si="1"/>
        <v>6</v>
      </c>
      <c r="N39" s="50">
        <v>7</v>
      </c>
      <c r="O39" s="66" t="s">
        <v>224</v>
      </c>
      <c r="P39" s="65">
        <v>12.54</v>
      </c>
      <c r="Q39" s="67">
        <f t="shared" si="2"/>
        <v>87.78</v>
      </c>
      <c r="R39" s="71" t="s">
        <v>225</v>
      </c>
      <c r="S39" s="53"/>
    </row>
    <row r="40" spans="1:19" ht="16.5" thickBot="1" x14ac:dyDescent="0.3">
      <c r="A40" s="1"/>
      <c r="B40" s="38">
        <f>ROW(B40) - ROW($B$9)</f>
        <v>31</v>
      </c>
      <c r="C40" s="58" t="s">
        <v>172</v>
      </c>
      <c r="D40" s="46" t="s">
        <v>39</v>
      </c>
      <c r="E40" s="47" t="s">
        <v>74</v>
      </c>
      <c r="F40" s="46" t="s">
        <v>93</v>
      </c>
      <c r="G40" s="47" t="s">
        <v>122</v>
      </c>
      <c r="H40" s="46" t="s">
        <v>179</v>
      </c>
      <c r="I40" s="46" t="s">
        <v>139</v>
      </c>
      <c r="J40" s="46" t="s">
        <v>179</v>
      </c>
      <c r="K40" s="46" t="s">
        <v>179</v>
      </c>
      <c r="L40" s="47">
        <v>2</v>
      </c>
      <c r="M40" s="46">
        <f t="shared" si="1"/>
        <v>12</v>
      </c>
      <c r="N40" s="46">
        <v>13</v>
      </c>
      <c r="O40" s="63" t="s">
        <v>188</v>
      </c>
      <c r="P40" s="64">
        <v>0.48870000000000002</v>
      </c>
      <c r="Q40" s="64">
        <f t="shared" si="2"/>
        <v>6.3531000000000004</v>
      </c>
      <c r="R40" s="48"/>
      <c r="S40" s="61"/>
    </row>
    <row r="41" spans="1:19" ht="30.75" thickBot="1" x14ac:dyDescent="0.3">
      <c r="A41" s="1"/>
      <c r="B41" s="38">
        <f t="shared" si="0"/>
        <v>32</v>
      </c>
      <c r="C41" s="59" t="s">
        <v>172</v>
      </c>
      <c r="D41" s="50" t="s">
        <v>40</v>
      </c>
      <c r="E41" s="51" t="s">
        <v>75</v>
      </c>
      <c r="F41" s="50" t="s">
        <v>94</v>
      </c>
      <c r="G41" s="51" t="s">
        <v>123</v>
      </c>
      <c r="H41" s="50" t="s">
        <v>179</v>
      </c>
      <c r="I41" s="50" t="s">
        <v>138</v>
      </c>
      <c r="J41" s="50" t="s">
        <v>179</v>
      </c>
      <c r="K41" s="50" t="s">
        <v>179</v>
      </c>
      <c r="L41" s="51">
        <v>1</v>
      </c>
      <c r="M41" s="62">
        <f t="shared" si="1"/>
        <v>6</v>
      </c>
      <c r="N41" s="50">
        <v>7</v>
      </c>
      <c r="O41" s="66" t="s">
        <v>224</v>
      </c>
      <c r="P41" s="65">
        <v>2.665</v>
      </c>
      <c r="Q41" s="67">
        <f t="shared" si="2"/>
        <v>18.655000000000001</v>
      </c>
      <c r="R41" s="71" t="s">
        <v>225</v>
      </c>
      <c r="S41" s="53"/>
    </row>
    <row r="42" spans="1:19" ht="16.5" thickBot="1" x14ac:dyDescent="0.3">
      <c r="A42" s="1"/>
      <c r="B42" s="38">
        <f>ROW(B42) - ROW($B$9)</f>
        <v>33</v>
      </c>
      <c r="C42" s="58" t="s">
        <v>172</v>
      </c>
      <c r="D42" s="46" t="s">
        <v>41</v>
      </c>
      <c r="E42" s="47" t="s">
        <v>76</v>
      </c>
      <c r="F42" s="46" t="s">
        <v>95</v>
      </c>
      <c r="G42" s="47" t="s">
        <v>124</v>
      </c>
      <c r="H42" s="46" t="s">
        <v>179</v>
      </c>
      <c r="I42" s="46" t="s">
        <v>140</v>
      </c>
      <c r="J42" s="46" t="s">
        <v>179</v>
      </c>
      <c r="K42" s="46" t="s">
        <v>179</v>
      </c>
      <c r="L42" s="47">
        <v>2</v>
      </c>
      <c r="M42" s="46">
        <f t="shared" si="1"/>
        <v>12</v>
      </c>
      <c r="N42" s="46">
        <v>13</v>
      </c>
      <c r="O42" s="63" t="s">
        <v>226</v>
      </c>
      <c r="P42" s="64">
        <v>1.18</v>
      </c>
      <c r="Q42" s="64">
        <f t="shared" si="2"/>
        <v>15.34</v>
      </c>
      <c r="R42" s="70"/>
      <c r="S42" s="61"/>
    </row>
    <row r="43" spans="1:19" ht="36.75" thickBot="1" x14ac:dyDescent="0.3">
      <c r="A43" s="1"/>
      <c r="B43" s="38">
        <f t="shared" si="0"/>
        <v>34</v>
      </c>
      <c r="C43" s="59" t="s">
        <v>173</v>
      </c>
      <c r="D43" s="50" t="s">
        <v>42</v>
      </c>
      <c r="E43" s="51" t="s">
        <v>77</v>
      </c>
      <c r="F43" s="50" t="s">
        <v>182</v>
      </c>
      <c r="G43" s="51" t="s">
        <v>96</v>
      </c>
      <c r="H43" s="50" t="s">
        <v>179</v>
      </c>
      <c r="I43" s="50" t="s">
        <v>141</v>
      </c>
      <c r="J43" s="50" t="s">
        <v>209</v>
      </c>
      <c r="K43" s="50" t="s">
        <v>163</v>
      </c>
      <c r="L43" s="51">
        <v>1</v>
      </c>
      <c r="M43" s="62">
        <f t="shared" si="1"/>
        <v>6</v>
      </c>
      <c r="N43" s="50">
        <v>8</v>
      </c>
      <c r="O43" s="66" t="s">
        <v>188</v>
      </c>
      <c r="P43" s="65">
        <v>0.49049999999999999</v>
      </c>
      <c r="Q43" s="67">
        <f t="shared" si="2"/>
        <v>3.9239999999999999</v>
      </c>
      <c r="R43" s="52"/>
      <c r="S43" s="53"/>
    </row>
    <row r="44" spans="1:19" ht="19.5" thickBot="1" x14ac:dyDescent="0.3">
      <c r="A44" s="1"/>
      <c r="B44" s="33"/>
      <c r="C44" s="44"/>
      <c r="D44" s="34" t="s">
        <v>5</v>
      </c>
      <c r="E44" s="35"/>
      <c r="F44" s="36"/>
      <c r="G44" s="37"/>
      <c r="H44" s="37"/>
      <c r="I44" s="36"/>
      <c r="J44" s="36"/>
      <c r="K44" s="37"/>
      <c r="L44" s="37"/>
      <c r="M44" s="37"/>
      <c r="N44" s="74" t="s">
        <v>227</v>
      </c>
      <c r="O44" s="75"/>
      <c r="P44" s="75"/>
      <c r="Q44" s="72">
        <f>SUM(Q10:Q43)</f>
        <v>247.17910000000001</v>
      </c>
      <c r="R44" s="80"/>
      <c r="S44" s="81"/>
    </row>
    <row r="45" spans="1:19" ht="19.5" thickBot="1" x14ac:dyDescent="0.3">
      <c r="A45" s="1"/>
      <c r="B45" s="25"/>
      <c r="C45" s="45"/>
      <c r="D45" s="9" t="s">
        <v>6</v>
      </c>
      <c r="E45" s="10"/>
      <c r="F45" s="10"/>
      <c r="G45" s="10"/>
      <c r="H45" s="10"/>
      <c r="I45" s="10"/>
      <c r="J45" s="10"/>
      <c r="K45" s="10"/>
      <c r="L45" s="10"/>
      <c r="M45" s="10"/>
      <c r="N45" s="74" t="s">
        <v>228</v>
      </c>
      <c r="O45" s="75"/>
      <c r="P45" s="75"/>
      <c r="Q45" s="73">
        <f>Q44/5</f>
        <v>49.43582</v>
      </c>
      <c r="R45" s="82"/>
      <c r="S45" s="83"/>
    </row>
    <row r="46" spans="1:19" ht="19.5" thickBot="1" x14ac:dyDescent="0.3">
      <c r="N46" s="74" t="s">
        <v>229</v>
      </c>
      <c r="O46" s="75"/>
      <c r="P46" s="75"/>
      <c r="Q46" s="73">
        <v>5</v>
      </c>
    </row>
  </sheetData>
  <mergeCells count="6">
    <mergeCell ref="N46:P46"/>
    <mergeCell ref="K1:S1"/>
    <mergeCell ref="S3:S8"/>
    <mergeCell ref="R44:S45"/>
    <mergeCell ref="N44:P44"/>
    <mergeCell ref="N45:P45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7" r:id="rId7"/>
    <hyperlink ref="O18" r:id="rId8"/>
    <hyperlink ref="O19" r:id="rId9"/>
    <hyperlink ref="O21" r:id="rId10"/>
    <hyperlink ref="O22" r:id="rId11"/>
    <hyperlink ref="O29" r:id="rId12"/>
    <hyperlink ref="O30" r:id="rId13"/>
    <hyperlink ref="O31" r:id="rId14"/>
    <hyperlink ref="O32" r:id="rId15"/>
    <hyperlink ref="O33" r:id="rId16"/>
    <hyperlink ref="O34" r:id="rId17"/>
    <hyperlink ref="O35" r:id="rId18"/>
    <hyperlink ref="O36" r:id="rId19"/>
    <hyperlink ref="O37" r:id="rId20"/>
    <hyperlink ref="O38" r:id="rId21"/>
    <hyperlink ref="O43" r:id="rId22"/>
    <hyperlink ref="O23" r:id="rId23"/>
    <hyperlink ref="O24" r:id="rId24"/>
    <hyperlink ref="O25" r:id="rId25"/>
    <hyperlink ref="O26" r:id="rId26"/>
    <hyperlink ref="O27" r:id="rId27"/>
    <hyperlink ref="O16" r:id="rId28"/>
    <hyperlink ref="O20" r:id="rId29"/>
    <hyperlink ref="O42" r:id="rId30"/>
    <hyperlink ref="O40" r:id="rId31"/>
  </hyperlinks>
  <pageMargins left="0.7" right="0.7" top="0.75" bottom="0.75" header="0.3" footer="0.3"/>
  <pageSetup paperSize="9" orientation="portrait" r:id="rId32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2019-12-12T10:34:26Z</dcterms:created>
  <dcterms:modified xsi:type="dcterms:W3CDTF">2022-10-28T15:36:08Z</dcterms:modified>
</cp:coreProperties>
</file>