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6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HP\Desktop\"/>
    </mc:Choice>
  </mc:AlternateContent>
  <xr:revisionPtr revIDLastSave="0" documentId="13_ncr:1_{D82AD52A-E819-4283-B43B-5767A6B172F4}" xr6:coauthVersionLast="47" xr6:coauthVersionMax="47" xr10:uidLastSave="{00000000-0000-0000-0000-000000000000}"/>
  <bookViews>
    <workbookView xWindow="22305" yWindow="4815" windowWidth="11790" windowHeight="15360" xr2:uid="{00000000-000D-0000-FFFF-FFFF00000000}"/>
  </bookViews>
  <sheets>
    <sheet name="Sheet1" sheetId="1" r:id="rId1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M11" i="1" l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5" i="1"/>
  <c r="P36" i="1"/>
  <c r="P37" i="1"/>
  <c r="P10" i="1"/>
  <c r="P38" i="1" l="1"/>
  <c r="P39" i="1" s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</calcChain>
</file>

<file path=xl/sharedStrings.xml><?xml version="1.0" encoding="utf-8"?>
<sst xmlns="http://schemas.openxmlformats.org/spreadsheetml/2006/main" count="277" uniqueCount="200">
  <si>
    <t>Component list</t>
  </si>
  <si>
    <t>Source Data From:</t>
  </si>
  <si>
    <t>Project:</t>
  </si>
  <si>
    <t>Variant:</t>
  </si>
  <si>
    <t>#</t>
  </si>
  <si>
    <t>None</t>
  </si>
  <si>
    <t>Designator</t>
  </si>
  <si>
    <t>C1</t>
  </si>
  <si>
    <t>C2</t>
  </si>
  <si>
    <t>C3, C4</t>
  </si>
  <si>
    <t>C5, C6, C13, C17</t>
  </si>
  <si>
    <t>C7, C8</t>
  </si>
  <si>
    <t>C9, C10, C12</t>
  </si>
  <si>
    <t>C11</t>
  </si>
  <si>
    <t>C14</t>
  </si>
  <si>
    <t>C15, C16</t>
  </si>
  <si>
    <t>D1</t>
  </si>
  <si>
    <t>L1</t>
  </si>
  <si>
    <t>L2</t>
  </si>
  <si>
    <t>L3</t>
  </si>
  <si>
    <t>LED1</t>
  </si>
  <si>
    <t>LED2</t>
  </si>
  <si>
    <t>P1, P2</t>
  </si>
  <si>
    <t>P3, P4</t>
  </si>
  <si>
    <t>Q1</t>
  </si>
  <si>
    <t>Q2</t>
  </si>
  <si>
    <t>R1</t>
  </si>
  <si>
    <t>R2, R3, R4, R5, R8, R9, R10, R11</t>
  </si>
  <si>
    <t>R6</t>
  </si>
  <si>
    <t>R7</t>
  </si>
  <si>
    <t>R13, R14, R18, R19</t>
  </si>
  <si>
    <t>SB1, SB2, SB3, SB4, SB5</t>
  </si>
  <si>
    <t>SW1, SW2, SW3</t>
  </si>
  <si>
    <t>U1</t>
  </si>
  <si>
    <t>U4</t>
  </si>
  <si>
    <t>Description</t>
  </si>
  <si>
    <t>CAP CER 22UF 10V X5R 0603</t>
  </si>
  <si>
    <t>VZT Series 50 V 330 uF 105°C 10 x 10 mm SMT Aluminum Electrolytic Capacitor</t>
  </si>
  <si>
    <t>CAP CER 1UF 100V X7R 1206</t>
  </si>
  <si>
    <t>CAP CER 0.1UF 100V X7R 0603</t>
  </si>
  <si>
    <t>100V 10nF X7R ±10% 0603 Multilayer Ceramic Capacitors MLCC - SMD/SMT ROHS</t>
  </si>
  <si>
    <t>CAP CER 1UF 25V X5R 0603</t>
  </si>
  <si>
    <t>CAP CER 47PF 100V NPO 0603</t>
  </si>
  <si>
    <t>CAP TANT 100UF 20% 25V 2917</t>
  </si>
  <si>
    <t>CAP CER 1000PF 100V X7R 0402</t>
  </si>
  <si>
    <t>Diode Switching 50V 1A 2-Pin SMA T/R</t>
  </si>
  <si>
    <t>47uH ±20% 0603 Inductors (SMD) ROHS</t>
  </si>
  <si>
    <t>22uH ±10% 0603 Inductors (SMD) ROHS</t>
  </si>
  <si>
    <t>FIXED IND 1UH 5.8A 26 MOHM SMD</t>
  </si>
  <si>
    <t>Standard LEDs - SMD SMD LED Red 631nm 54mcd 130VA</t>
  </si>
  <si>
    <t>Green 520~535nm 0402 Light Emitting Diodes (LED) RoHS</t>
  </si>
  <si>
    <t>P=5.0mm Screw terminal RoHS</t>
  </si>
  <si>
    <t>CONN HEADER 6 POS 2.54</t>
  </si>
  <si>
    <t>100nA 50V 225mW 1.5A 500mV@800mA,80mA NPN -55℃~+150℃@(Tj) SOT-23(SOT-23-3) Bipolar Transistors - BJT ROHS</t>
  </si>
  <si>
    <t>60V 8A 2.1W 20mΩ@10V,8A 2.2V@250uA N Channel SOP-8 MOSFETs ROHS</t>
  </si>
  <si>
    <t>RES SMD 22 OHM 5% 1/3W 0603</t>
  </si>
  <si>
    <t>RES SMD 10K OHM 5% 1/10W 0603</t>
  </si>
  <si>
    <t>RES SMD 1K OHM 5% 1/10W 0402</t>
  </si>
  <si>
    <t>RES SMD 4.7K OHM 5% 1/10W 0603</t>
  </si>
  <si>
    <t>RES SMD 5.1K OHM 5% 1/10W 0603</t>
  </si>
  <si>
    <t>Solder Bridge ON</t>
  </si>
  <si>
    <t>Shrouded 5A SPDT 125V 6.3mm 13.5mm 125V 6.6mm 5A PCPin 10000 Rectangular columnar -40℃~+85℃ Black Plugin Slide Switches ROHS</t>
  </si>
  <si>
    <t>SOP-8 Position Sensor ROHS</t>
  </si>
  <si>
    <t>40-V max, 8-A peak, sensorless FOC control 3-phase BLDC motor driver 40-VQFN -40 to 125</t>
  </si>
  <si>
    <t>Footprint</t>
  </si>
  <si>
    <t>Cap-0603</t>
  </si>
  <si>
    <t>Cap-1206</t>
  </si>
  <si>
    <t>Case-E</t>
  </si>
  <si>
    <t>Cap-0402</t>
  </si>
  <si>
    <t>SMA</t>
  </si>
  <si>
    <t>IND-0603 (1608 Metric)</t>
  </si>
  <si>
    <t>LED 0402</t>
  </si>
  <si>
    <t>LED-0402</t>
  </si>
  <si>
    <t>WJ301V-5.0-3P</t>
  </si>
  <si>
    <t>HDR1X6_</t>
  </si>
  <si>
    <t>SOT-23-3L_</t>
  </si>
  <si>
    <t>SOP-8</t>
  </si>
  <si>
    <t>Res-0603</t>
  </si>
  <si>
    <t>Res0402</t>
  </si>
  <si>
    <t>Solder Bridge</t>
  </si>
  <si>
    <t>40-VQFN (7x5)</t>
  </si>
  <si>
    <t>Manufacturer Part Number</t>
  </si>
  <si>
    <t>CC0603MRX5R6BB226</t>
  </si>
  <si>
    <t>GRM31CR72A105KA01K</t>
  </si>
  <si>
    <t>CC0603KRX7R0BB104</t>
  </si>
  <si>
    <t>CC0603KRX5R8BB105</t>
  </si>
  <si>
    <t>AC0603JRNPO0BN470</t>
  </si>
  <si>
    <t>TAJE107M025RNJ</t>
  </si>
  <si>
    <t>S1A-13-F</t>
  </si>
  <si>
    <t>WPN4020H1R0MT</t>
  </si>
  <si>
    <t>LTST-C281KRKT</t>
  </si>
  <si>
    <t>16-213/GHC-YR1S1/3T</t>
  </si>
  <si>
    <t>AC0603JR-0710KL</t>
  </si>
  <si>
    <t>ERJ-2GEJ102X</t>
  </si>
  <si>
    <t>RC0603JR-074K7L</t>
  </si>
  <si>
    <t>RC0603JR-075K1L</t>
  </si>
  <si>
    <t>SS-12D11G5R</t>
  </si>
  <si>
    <t>MT6701CT-STD-R</t>
  </si>
  <si>
    <t>MCF8316A1VRGFR</t>
  </si>
  <si>
    <t>Manufacturer</t>
  </si>
  <si>
    <t>Yageo</t>
  </si>
  <si>
    <t>Surge Components</t>
  </si>
  <si>
    <t>Murata</t>
  </si>
  <si>
    <t>Kyocera AVX</t>
  </si>
  <si>
    <t>Wurth Electronics</t>
  </si>
  <si>
    <t>Diodes</t>
  </si>
  <si>
    <t>Sunlord</t>
  </si>
  <si>
    <t>Vishay Lite-On</t>
  </si>
  <si>
    <t>Everlight Elec</t>
  </si>
  <si>
    <t>Ningbo Kangnex Elec</t>
  </si>
  <si>
    <t>Vishay Dale</t>
  </si>
  <si>
    <t>Panasonic</t>
  </si>
  <si>
    <t>XKB Connectivity</t>
  </si>
  <si>
    <t>Magn Tek</t>
  </si>
  <si>
    <t>Texas Instruments</t>
  </si>
  <si>
    <t>22uF</t>
  </si>
  <si>
    <t>330uF</t>
  </si>
  <si>
    <t>1uF</t>
  </si>
  <si>
    <t>0.1uF</t>
  </si>
  <si>
    <t>10nF</t>
  </si>
  <si>
    <t>47pF</t>
  </si>
  <si>
    <t>100uF</t>
  </si>
  <si>
    <t>1000pF</t>
  </si>
  <si>
    <t>47uH</t>
  </si>
  <si>
    <t>22uH</t>
  </si>
  <si>
    <t>1uH</t>
  </si>
  <si>
    <t>Red</t>
  </si>
  <si>
    <t>Green</t>
  </si>
  <si>
    <t>LH8050QLT1G</t>
  </si>
  <si>
    <t>NCE6008AS</t>
  </si>
  <si>
    <t>22R</t>
  </si>
  <si>
    <t>10K</t>
  </si>
  <si>
    <t>1K</t>
  </si>
  <si>
    <t>4.7K</t>
  </si>
  <si>
    <t>5.1K</t>
  </si>
  <si>
    <t>Quantity</t>
  </si>
  <si>
    <t>Item Type</t>
  </si>
  <si>
    <t>Alternate Part Number</t>
  </si>
  <si>
    <t>LCSC/Part Number</t>
  </si>
  <si>
    <t xml:space="preserve">Value </t>
  </si>
  <si>
    <t>Remarks</t>
  </si>
  <si>
    <t>Reviewer Remarks</t>
  </si>
  <si>
    <t>Capacitor</t>
  </si>
  <si>
    <t>Diode</t>
  </si>
  <si>
    <t>Inductor</t>
  </si>
  <si>
    <t>LED</t>
  </si>
  <si>
    <t xml:space="preserve">Terminal Block </t>
  </si>
  <si>
    <t>Header</t>
  </si>
  <si>
    <t>Mosfet</t>
  </si>
  <si>
    <t>Resistor</t>
  </si>
  <si>
    <t>Switch</t>
  </si>
  <si>
    <t>IC</t>
  </si>
  <si>
    <t>C109447</t>
  </si>
  <si>
    <t>C249985</t>
  </si>
  <si>
    <t>C909823</t>
  </si>
  <si>
    <t>C113803</t>
  </si>
  <si>
    <t>C149602</t>
  </si>
  <si>
    <t>C14664</t>
  </si>
  <si>
    <t>C389107</t>
  </si>
  <si>
    <t>C7230</t>
  </si>
  <si>
    <t>C527013</t>
  </si>
  <si>
    <t>C150735</t>
  </si>
  <si>
    <t>C307679</t>
  </si>
  <si>
    <t>C361669</t>
  </si>
  <si>
    <t>C98359</t>
  </si>
  <si>
    <t>C364556</t>
  </si>
  <si>
    <t>C74338</t>
  </si>
  <si>
    <t>C8483</t>
  </si>
  <si>
    <t>C358687</t>
  </si>
  <si>
    <t>C132810</t>
  </si>
  <si>
    <t>C341716</t>
  </si>
  <si>
    <t>C107701</t>
  </si>
  <si>
    <t>C140867</t>
  </si>
  <si>
    <t>C2935237</t>
  </si>
  <si>
    <t>C105428</t>
  </si>
  <si>
    <t>C14677</t>
  </si>
  <si>
    <t>C388633</t>
  </si>
  <si>
    <t>C3003196</t>
  </si>
  <si>
    <t>Bill of Materials for Project [BOB]</t>
  </si>
  <si>
    <t>BOB</t>
  </si>
  <si>
    <t>VZT331M1HTR-1010</t>
  </si>
  <si>
    <t>AC0603KRX7R0BB103</t>
  </si>
  <si>
    <t>GLFR1608T470M-LR</t>
  </si>
  <si>
    <t>CMI160808J220KT</t>
  </si>
  <si>
    <t>CRCW060322R0JNEA</t>
  </si>
  <si>
    <t>CC0402KRX7R0BB102</t>
  </si>
  <si>
    <t>-</t>
  </si>
  <si>
    <t>DO NOT MOUNT</t>
  </si>
  <si>
    <t>Custom</t>
  </si>
  <si>
    <t>Quantity (10 Boards)</t>
  </si>
  <si>
    <t>MOQ (10 Boards)</t>
  </si>
  <si>
    <t>Unit Cost (10 Boards)</t>
  </si>
  <si>
    <t>Total Cost (10 Boards)</t>
  </si>
  <si>
    <t>Wuxi NCE Power Semiconductor</t>
  </si>
  <si>
    <t xml:space="preserve">LRC </t>
  </si>
  <si>
    <t>RC0603FR-0722RL</t>
  </si>
  <si>
    <t>MTP125-1105S1</t>
  </si>
  <si>
    <t>RC0402FR-071KL</t>
  </si>
  <si>
    <t xml:space="preserve">Total Component Cost </t>
  </si>
  <si>
    <t>Single Board Cost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</si>
</sst>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:ss\ AM/PM;@"/>
    <numFmt numFmtId="165" formatCode="&quot;$&quot;#,##0.0000"/>
    <numFmt numFmtId="166" formatCode="&quot;$&quot;#,##0.00"/>
  </numFmts>
  <fonts count="24" x14ac:knownFonts="1">
    <font>
      <sz val="11"/>
      <color theme="1"/>
      <name val="Calibri"/>
      <family val="2"/>
      <scheme val="minor"/>
    </font>
    <font>
      <sz val="10"/>
      <color indexed="13"/>
      <name val="Arial"/>
    </font>
    <font>
      <b/>
      <sz val="24"/>
      <color indexed="10"/>
      <name val="Arial"/>
      <family val="2"/>
    </font>
    <font>
      <b/>
      <sz val="12"/>
      <color indexed="13"/>
      <name val="Arial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z val="14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</fills>
  <borders count="24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78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5" borderId="15" xfId="0" applyFont="1" applyFill="1" applyBorder="1" applyAlignment="1">
      <alignment horizontal="center" vertical="center"/>
    </xf>
    <xf numFmtId="0" fontId="17" fillId="5" borderId="12" xfId="0" applyFont="1" applyFill="1" applyBorder="1" applyAlignment="1">
      <alignment horizontal="center" vertical="center"/>
    </xf>
    <xf numFmtId="0" fontId="17" fillId="5" borderId="13" xfId="0" applyFont="1" applyFill="1" applyBorder="1" applyAlignment="1">
      <alignment horizontal="center" vertical="center"/>
    </xf>
    <xf numFmtId="0" fontId="11" fillId="3" borderId="10" xfId="0" applyFont="1" applyFill="1" applyBorder="1" applyAlignment="1" applyProtection="1">
      <alignment horizontal="center" vertical="center"/>
      <protection locked="0"/>
    </xf>
    <xf numFmtId="0" fontId="11" fillId="3" borderId="11" xfId="0" applyFont="1" applyFill="1" applyBorder="1" applyAlignment="1" applyProtection="1">
      <alignment vertical="center"/>
      <protection locked="0"/>
    </xf>
    <xf numFmtId="0" fontId="12" fillId="3" borderId="11" xfId="0" applyFont="1" applyFill="1" applyBorder="1" applyAlignment="1" applyProtection="1">
      <alignment horizontal="left" vertical="center"/>
      <protection locked="0"/>
    </xf>
    <xf numFmtId="0" fontId="0" fillId="3" borderId="11" xfId="0" applyFill="1" applyBorder="1" applyAlignment="1">
      <alignment vertical="center"/>
    </xf>
    <xf numFmtId="0" fontId="0" fillId="3" borderId="11" xfId="0" applyFill="1" applyBorder="1"/>
    <xf numFmtId="0" fontId="11" fillId="5" borderId="15" xfId="0" applyFont="1" applyFill="1" applyBorder="1" applyAlignment="1">
      <alignment horizontal="center" vertical="center" wrapText="1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1" fillId="3" borderId="11" xfId="0" applyFont="1" applyFill="1" applyBorder="1" applyAlignment="1" applyProtection="1">
      <alignment horizontal="center" vertical="center"/>
      <protection locked="0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0" fontId="18" fillId="2" borderId="5" xfId="0" applyFont="1" applyFill="1" applyBorder="1" applyAlignment="1">
      <alignment horizontal="center" vertical="center" wrapText="1"/>
    </xf>
    <xf numFmtId="0" fontId="18" fillId="2" borderId="18" xfId="0" applyFont="1" applyFill="1" applyBorder="1" applyAlignment="1">
      <alignment horizontal="center" vertical="center" wrapText="1"/>
    </xf>
    <xf numFmtId="0" fontId="19" fillId="0" borderId="18" xfId="0" applyFont="1" applyBorder="1" applyAlignment="1">
      <alignment horizontal="center"/>
    </xf>
    <xf numFmtId="0" fontId="18" fillId="4" borderId="17" xfId="0" applyFont="1" applyFill="1" applyBorder="1" applyAlignment="1">
      <alignment horizontal="center" vertical="center" wrapText="1"/>
    </xf>
    <xf numFmtId="0" fontId="18" fillId="4" borderId="6" xfId="0" applyFont="1" applyFill="1" applyBorder="1" applyAlignment="1">
      <alignment horizontal="center" vertical="center" wrapText="1"/>
    </xf>
    <xf numFmtId="0" fontId="18" fillId="4" borderId="19" xfId="0" applyFont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165" fontId="18" fillId="4" borderId="17" xfId="0" applyNumberFormat="1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20" fillId="2" borderId="16" xfId="0" applyFont="1" applyFill="1" applyBorder="1" applyAlignment="1">
      <alignment horizontal="center" vertical="center" wrapText="1"/>
    </xf>
    <xf numFmtId="0" fontId="20" fillId="4" borderId="17" xfId="0" applyFont="1" applyFill="1" applyBorder="1" applyAlignment="1">
      <alignment horizontal="center" vertical="center" wrapText="1"/>
    </xf>
    <xf numFmtId="0" fontId="18" fillId="4" borderId="21" xfId="0" applyFont="1" applyFill="1" applyBorder="1" applyAlignment="1">
      <alignment horizontal="center" vertical="center" wrapText="1"/>
    </xf>
    <xf numFmtId="165" fontId="21" fillId="2" borderId="16" xfId="0" applyNumberFormat="1" applyFont="1" applyFill="1" applyBorder="1" applyAlignment="1">
      <alignment horizontal="center" vertical="center" wrapText="1"/>
    </xf>
    <xf numFmtId="0" fontId="22" fillId="4" borderId="6" xfId="0" applyFont="1" applyFill="1" applyBorder="1" applyAlignment="1">
      <alignment horizontal="center" vertical="center" wrapText="1"/>
    </xf>
    <xf numFmtId="0" fontId="22" fillId="2" borderId="5" xfId="0" applyFont="1" applyFill="1" applyBorder="1" applyAlignment="1">
      <alignment horizontal="center" vertical="center" wrapText="1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3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11" xfId="0" applyFont="1" applyFill="1" applyBorder="1" applyAlignment="1">
      <alignment horizontal="center" vertical="center" wrapText="1"/>
    </xf>
    <xf numFmtId="0" fontId="17" fillId="3" borderId="8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20" xfId="0" applyFont="1" applyFill="1" applyBorder="1" applyAlignment="1">
      <alignment horizontal="center" vertical="center" wrapText="1"/>
    </xf>
    <xf numFmtId="0" fontId="23" fillId="3" borderId="22" xfId="0" applyFont="1" applyFill="1" applyBorder="1" applyAlignment="1" applyProtection="1">
      <alignment horizontal="center" vertical="top"/>
      <protection locked="0"/>
    </xf>
    <xf numFmtId="0" fontId="23" fillId="3" borderId="12" xfId="0" applyFont="1" applyFill="1" applyBorder="1" applyAlignment="1" applyProtection="1">
      <alignment horizontal="center" vertical="top"/>
      <protection locked="0"/>
    </xf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9525</xdr:colOff>
      <xdr:row>2</xdr:row>
      <xdr:rowOff>10417</xdr:rowOff>
    </xdr:from>
    <xdr:to>
      <xdr:col>17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V39"/>
  <sheetViews>
    <sheetView tabSelected="1" topLeftCell="L28" workbookViewId="0">
      <selection activeCell="P42" sqref="P42"/>
    </sheetView>
  </sheetViews>
  <sheetFormatPr defaultRowHeight="15" x14ac:dyDescent="0.25"/>
  <cols>
    <col min="2" max="2" width="3.140625" style="26" customWidth="1"/>
    <col min="3" max="3" width="18" style="26" bestFit="1" customWidth="1"/>
    <col min="4" max="4" width="23" customWidth="1"/>
    <col min="5" max="5" width="30.85546875" customWidth="1"/>
    <col min="6" max="6" width="20.7109375" customWidth="1"/>
    <col min="7" max="7" width="25.28515625" bestFit="1" customWidth="1"/>
    <col min="8" max="8" width="17.28515625" bestFit="1" customWidth="1"/>
    <col min="9" max="9" width="21.5703125" bestFit="1" customWidth="1"/>
    <col min="10" max="10" width="17.5703125" bestFit="1" customWidth="1"/>
    <col min="11" max="11" width="6.5703125" bestFit="1" customWidth="1"/>
    <col min="12" max="12" width="8.7109375" bestFit="1" customWidth="1"/>
    <col min="13" max="13" width="18.28515625" bestFit="1" customWidth="1"/>
    <col min="14" max="14" width="16.140625" bestFit="1" customWidth="1"/>
    <col min="15" max="15" width="18.7109375" bestFit="1" customWidth="1"/>
    <col min="16" max="16" width="20.28515625" bestFit="1" customWidth="1"/>
    <col min="17" max="17" width="14" bestFit="1" customWidth="1"/>
    <col min="18" max="18" width="26.85546875" bestFit="1" customWidth="1"/>
    <col min="21" max="21" width="19.7109375" bestFit="1" customWidth="1"/>
  </cols>
  <sheetData>
    <row r="1" spans="1:22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67"/>
      <c r="L1" s="67"/>
      <c r="M1" s="67"/>
      <c r="N1" s="67"/>
      <c r="O1" s="67"/>
      <c r="P1" s="67"/>
      <c r="Q1" s="67"/>
      <c r="R1" s="68"/>
    </row>
    <row r="2" spans="1:22" ht="32.25" thickBot="1" x14ac:dyDescent="0.3">
      <c r="A2" s="1"/>
      <c r="B2" s="21"/>
      <c r="C2" s="39"/>
      <c r="D2" s="11" t="s">
        <v>0</v>
      </c>
      <c r="E2" s="11"/>
      <c r="F2" s="55" t="s">
        <v>178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3"/>
    </row>
    <row r="3" spans="1:22" x14ac:dyDescent="0.25">
      <c r="A3" s="1"/>
      <c r="B3" s="22"/>
      <c r="C3" s="40"/>
      <c r="D3" s="13" t="s">
        <v>1</v>
      </c>
      <c r="E3" s="13"/>
      <c r="F3" s="56" t="s">
        <v>179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69"/>
    </row>
    <row r="4" spans="1:22" x14ac:dyDescent="0.25">
      <c r="A4" s="1"/>
      <c r="B4" s="22"/>
      <c r="C4" s="40"/>
      <c r="D4" s="13" t="s">
        <v>2</v>
      </c>
      <c r="E4" s="13"/>
      <c r="F4" s="57" t="s">
        <v>179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70"/>
    </row>
    <row r="5" spans="1:22" x14ac:dyDescent="0.25">
      <c r="A5" s="1"/>
      <c r="B5" s="22"/>
      <c r="C5" s="40"/>
      <c r="D5" s="13" t="s">
        <v>3</v>
      </c>
      <c r="E5" s="13"/>
      <c r="F5" s="58" t="s">
        <v>5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70"/>
    </row>
    <row r="6" spans="1:22" x14ac:dyDescent="0.25">
      <c r="A6" s="1"/>
      <c r="B6" s="23"/>
      <c r="C6" s="41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70"/>
    </row>
    <row r="7" spans="1:22" x14ac:dyDescent="0.25">
      <c r="A7" s="1"/>
      <c r="B7" s="24"/>
      <c r="C7" s="42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70"/>
    </row>
    <row r="8" spans="1:22" ht="15.75" thickBot="1" x14ac:dyDescent="0.3">
      <c r="A8" s="1"/>
      <c r="B8" s="27"/>
      <c r="C8" s="43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70"/>
    </row>
    <row r="9" spans="1:22" ht="15.75" thickBot="1" x14ac:dyDescent="0.3">
      <c r="A9" s="1"/>
      <c r="B9" s="30" t="s">
        <v>4</v>
      </c>
      <c r="C9" s="30" t="s">
        <v>136</v>
      </c>
      <c r="D9" s="30" t="s">
        <v>6</v>
      </c>
      <c r="E9" s="31" t="s">
        <v>35</v>
      </c>
      <c r="F9" s="30" t="s">
        <v>64</v>
      </c>
      <c r="G9" s="31" t="s">
        <v>81</v>
      </c>
      <c r="H9" s="30" t="s">
        <v>99</v>
      </c>
      <c r="I9" s="30" t="s">
        <v>137</v>
      </c>
      <c r="J9" s="30" t="s">
        <v>138</v>
      </c>
      <c r="K9" s="30" t="s">
        <v>139</v>
      </c>
      <c r="L9" s="31" t="s">
        <v>135</v>
      </c>
      <c r="M9" s="30" t="s">
        <v>189</v>
      </c>
      <c r="N9" s="30" t="s">
        <v>190</v>
      </c>
      <c r="O9" s="30" t="s">
        <v>191</v>
      </c>
      <c r="P9" s="30" t="s">
        <v>192</v>
      </c>
      <c r="Q9" s="32" t="s">
        <v>140</v>
      </c>
      <c r="R9" s="32" t="s">
        <v>141</v>
      </c>
    </row>
    <row r="10" spans="1:22" ht="15.75" thickBot="1" x14ac:dyDescent="0.3">
      <c r="A10" s="1"/>
      <c r="B10" s="38">
        <f>ROW(B10) - ROW($B$9)</f>
        <v>1</v>
      </c>
      <c r="C10" s="59" t="s">
        <v>142</v>
      </c>
      <c r="D10" s="46" t="s">
        <v>7</v>
      </c>
      <c r="E10" s="47" t="s">
        <v>36</v>
      </c>
      <c r="F10" s="46" t="s">
        <v>65</v>
      </c>
      <c r="G10" s="47" t="s">
        <v>82</v>
      </c>
      <c r="H10" s="46" t="s">
        <v>100</v>
      </c>
      <c r="I10" s="46" t="s">
        <v>186</v>
      </c>
      <c r="J10" s="46" t="s">
        <v>152</v>
      </c>
      <c r="K10" s="46" t="s">
        <v>115</v>
      </c>
      <c r="L10" s="47">
        <v>1</v>
      </c>
      <c r="M10" s="46">
        <f>L10*10</f>
        <v>10</v>
      </c>
      <c r="N10" s="46">
        <v>20</v>
      </c>
      <c r="O10" s="53">
        <v>0.13320000000000001</v>
      </c>
      <c r="P10" s="53">
        <f>O10*N10</f>
        <v>2.6640000000000001</v>
      </c>
      <c r="Q10" s="48"/>
      <c r="R10" s="49"/>
      <c r="T10" s="77"/>
      <c r="V10" s="77"/>
    </row>
    <row r="11" spans="1:22" ht="36.75" thickBot="1" x14ac:dyDescent="0.3">
      <c r="A11" s="1"/>
      <c r="B11" s="38">
        <f t="shared" ref="B11:B37" si="0">ROW(B11) - ROW($B$9)</f>
        <v>2</v>
      </c>
      <c r="C11" s="60" t="s">
        <v>142</v>
      </c>
      <c r="D11" s="50" t="s">
        <v>8</v>
      </c>
      <c r="E11" s="51" t="s">
        <v>37</v>
      </c>
      <c r="F11" s="50" t="s">
        <v>188</v>
      </c>
      <c r="G11" s="51" t="s">
        <v>180</v>
      </c>
      <c r="H11" s="50" t="s">
        <v>101</v>
      </c>
      <c r="I11" s="50" t="s">
        <v>186</v>
      </c>
      <c r="J11" s="50" t="s">
        <v>153</v>
      </c>
      <c r="K11" s="50" t="s">
        <v>116</v>
      </c>
      <c r="L11" s="51">
        <v>1</v>
      </c>
      <c r="M11" s="50">
        <f t="shared" ref="M11:M37" si="1">L11*10</f>
        <v>10</v>
      </c>
      <c r="N11" s="50">
        <v>12</v>
      </c>
      <c r="O11" s="54">
        <v>0.47870000000000001</v>
      </c>
      <c r="P11" s="54">
        <f>O11*N11</f>
        <v>5.7444000000000006</v>
      </c>
      <c r="Q11" s="52"/>
      <c r="R11" s="52"/>
      <c r="T11" s="77"/>
      <c r="V11" s="77"/>
    </row>
    <row r="12" spans="1:22" ht="15.75" thickBot="1" x14ac:dyDescent="0.3">
      <c r="A12" s="1"/>
      <c r="B12" s="38">
        <f>ROW(B12) - ROW($B$9)</f>
        <v>3</v>
      </c>
      <c r="C12" s="59" t="s">
        <v>142</v>
      </c>
      <c r="D12" s="46" t="s">
        <v>9</v>
      </c>
      <c r="E12" s="47" t="s">
        <v>38</v>
      </c>
      <c r="F12" s="46" t="s">
        <v>66</v>
      </c>
      <c r="G12" s="47" t="s">
        <v>83</v>
      </c>
      <c r="H12" s="46" t="s">
        <v>102</v>
      </c>
      <c r="I12" s="46" t="s">
        <v>186</v>
      </c>
      <c r="J12" s="46" t="s">
        <v>154</v>
      </c>
      <c r="K12" s="46" t="s">
        <v>117</v>
      </c>
      <c r="L12" s="47">
        <v>2</v>
      </c>
      <c r="M12" s="46">
        <f t="shared" si="1"/>
        <v>20</v>
      </c>
      <c r="N12" s="46">
        <v>25</v>
      </c>
      <c r="O12" s="53">
        <v>0.23780000000000001</v>
      </c>
      <c r="P12" s="53">
        <f>O12*N12</f>
        <v>5.9450000000000003</v>
      </c>
      <c r="Q12" s="48"/>
      <c r="R12" s="48"/>
      <c r="T12" s="77"/>
      <c r="V12" s="77"/>
    </row>
    <row r="13" spans="1:22" ht="15.75" thickBot="1" x14ac:dyDescent="0.3">
      <c r="A13" s="1"/>
      <c r="B13" s="38">
        <f t="shared" si="0"/>
        <v>4</v>
      </c>
      <c r="C13" s="60" t="s">
        <v>142</v>
      </c>
      <c r="D13" s="50" t="s">
        <v>10</v>
      </c>
      <c r="E13" s="51" t="s">
        <v>39</v>
      </c>
      <c r="F13" s="50" t="s">
        <v>65</v>
      </c>
      <c r="G13" s="51" t="s">
        <v>84</v>
      </c>
      <c r="H13" s="50" t="s">
        <v>100</v>
      </c>
      <c r="I13" s="50" t="s">
        <v>186</v>
      </c>
      <c r="J13" s="50" t="s">
        <v>155</v>
      </c>
      <c r="K13" s="50" t="s">
        <v>118</v>
      </c>
      <c r="L13" s="51">
        <v>4</v>
      </c>
      <c r="M13" s="50">
        <f t="shared" si="1"/>
        <v>40</v>
      </c>
      <c r="N13" s="50">
        <v>100</v>
      </c>
      <c r="O13" s="54">
        <v>0.1053</v>
      </c>
      <c r="P13" s="54">
        <f>O13*N13</f>
        <v>10.530000000000001</v>
      </c>
      <c r="Q13" s="52"/>
      <c r="R13" s="52"/>
      <c r="T13" s="77"/>
      <c r="V13" s="77"/>
    </row>
    <row r="14" spans="1:22" ht="36.75" thickBot="1" x14ac:dyDescent="0.3">
      <c r="A14" s="1"/>
      <c r="B14" s="38">
        <f>ROW(B14) - ROW($B$9)</f>
        <v>5</v>
      </c>
      <c r="C14" s="59" t="s">
        <v>142</v>
      </c>
      <c r="D14" s="46" t="s">
        <v>11</v>
      </c>
      <c r="E14" s="47" t="s">
        <v>40</v>
      </c>
      <c r="F14" s="46" t="s">
        <v>65</v>
      </c>
      <c r="G14" s="47" t="s">
        <v>181</v>
      </c>
      <c r="H14" s="46"/>
      <c r="I14" s="46" t="s">
        <v>186</v>
      </c>
      <c r="J14" s="46" t="s">
        <v>156</v>
      </c>
      <c r="K14" s="46" t="s">
        <v>119</v>
      </c>
      <c r="L14" s="47">
        <v>2</v>
      </c>
      <c r="M14" s="46">
        <f t="shared" si="1"/>
        <v>20</v>
      </c>
      <c r="N14" s="46">
        <v>50</v>
      </c>
      <c r="O14" s="53">
        <v>0.10840000000000001</v>
      </c>
      <c r="P14" s="53">
        <f>O14*N14</f>
        <v>5.4200000000000008</v>
      </c>
      <c r="Q14" s="48"/>
      <c r="R14" s="48"/>
      <c r="T14" s="77"/>
      <c r="V14" s="77"/>
    </row>
    <row r="15" spans="1:22" ht="15.75" thickBot="1" x14ac:dyDescent="0.3">
      <c r="A15" s="1"/>
      <c r="B15" s="38">
        <f t="shared" si="0"/>
        <v>6</v>
      </c>
      <c r="C15" s="60" t="s">
        <v>142</v>
      </c>
      <c r="D15" s="50" t="s">
        <v>12</v>
      </c>
      <c r="E15" s="51" t="s">
        <v>41</v>
      </c>
      <c r="F15" s="50" t="s">
        <v>65</v>
      </c>
      <c r="G15" s="51" t="s">
        <v>85</v>
      </c>
      <c r="H15" s="50" t="s">
        <v>100</v>
      </c>
      <c r="I15" s="50" t="s">
        <v>186</v>
      </c>
      <c r="J15" s="50" t="s">
        <v>157</v>
      </c>
      <c r="K15" s="50" t="s">
        <v>117</v>
      </c>
      <c r="L15" s="51">
        <v>3</v>
      </c>
      <c r="M15" s="50">
        <f t="shared" si="1"/>
        <v>30</v>
      </c>
      <c r="N15" s="50">
        <v>100</v>
      </c>
      <c r="O15" s="54">
        <v>0.10600000000000001</v>
      </c>
      <c r="P15" s="54">
        <f>O15*N15</f>
        <v>10.600000000000001</v>
      </c>
      <c r="Q15" s="52"/>
      <c r="R15" s="52"/>
      <c r="T15" s="77"/>
      <c r="V15" s="77"/>
    </row>
    <row r="16" spans="1:22" ht="15.75" thickBot="1" x14ac:dyDescent="0.3">
      <c r="A16" s="1"/>
      <c r="B16" s="38">
        <f>ROW(B16) - ROW($B$9)</f>
        <v>7</v>
      </c>
      <c r="C16" s="59" t="s">
        <v>142</v>
      </c>
      <c r="D16" s="46" t="s">
        <v>13</v>
      </c>
      <c r="E16" s="47" t="s">
        <v>42</v>
      </c>
      <c r="F16" s="46" t="s">
        <v>65</v>
      </c>
      <c r="G16" s="47" t="s">
        <v>86</v>
      </c>
      <c r="H16" s="46" t="s">
        <v>100</v>
      </c>
      <c r="I16" s="46" t="s">
        <v>186</v>
      </c>
      <c r="J16" s="46" t="s">
        <v>158</v>
      </c>
      <c r="K16" s="46" t="s">
        <v>120</v>
      </c>
      <c r="L16" s="47">
        <v>1</v>
      </c>
      <c r="M16" s="46">
        <f t="shared" si="1"/>
        <v>10</v>
      </c>
      <c r="N16" s="46">
        <v>50</v>
      </c>
      <c r="O16" s="53">
        <v>0.11310000000000001</v>
      </c>
      <c r="P16" s="53">
        <f>O16*N16</f>
        <v>5.6550000000000002</v>
      </c>
      <c r="Q16" s="48"/>
      <c r="R16" s="48"/>
      <c r="T16" s="77"/>
      <c r="V16" s="77"/>
    </row>
    <row r="17" spans="1:22" ht="15.75" thickBot="1" x14ac:dyDescent="0.3">
      <c r="A17" s="1"/>
      <c r="B17" s="38">
        <f t="shared" si="0"/>
        <v>8</v>
      </c>
      <c r="C17" s="60" t="s">
        <v>142</v>
      </c>
      <c r="D17" s="50" t="s">
        <v>14</v>
      </c>
      <c r="E17" s="51" t="s">
        <v>43</v>
      </c>
      <c r="F17" s="50" t="s">
        <v>67</v>
      </c>
      <c r="G17" s="51" t="s">
        <v>87</v>
      </c>
      <c r="H17" s="50" t="s">
        <v>103</v>
      </c>
      <c r="I17" s="50" t="s">
        <v>186</v>
      </c>
      <c r="J17" s="50" t="s">
        <v>159</v>
      </c>
      <c r="K17" s="50" t="s">
        <v>121</v>
      </c>
      <c r="L17" s="51">
        <v>1</v>
      </c>
      <c r="M17" s="50">
        <f t="shared" si="1"/>
        <v>10</v>
      </c>
      <c r="N17" s="50">
        <v>12</v>
      </c>
      <c r="O17" s="54">
        <v>0.91249999999999998</v>
      </c>
      <c r="P17" s="54">
        <f>O17*N17</f>
        <v>10.95</v>
      </c>
      <c r="Q17" s="52"/>
      <c r="R17" s="52"/>
      <c r="T17" s="77"/>
      <c r="V17" s="77"/>
    </row>
    <row r="18" spans="1:22" ht="15.75" thickBot="1" x14ac:dyDescent="0.3">
      <c r="A18" s="1"/>
      <c r="B18" s="38">
        <f>ROW(B18) - ROW($B$9)</f>
        <v>9</v>
      </c>
      <c r="C18" s="59" t="s">
        <v>142</v>
      </c>
      <c r="D18" s="46" t="s">
        <v>15</v>
      </c>
      <c r="E18" s="47" t="s">
        <v>44</v>
      </c>
      <c r="F18" s="46" t="s">
        <v>68</v>
      </c>
      <c r="G18" s="64">
        <v>885012205080</v>
      </c>
      <c r="H18" s="46" t="s">
        <v>104</v>
      </c>
      <c r="I18" s="46" t="s">
        <v>185</v>
      </c>
      <c r="J18" s="46" t="s">
        <v>160</v>
      </c>
      <c r="K18" s="46" t="s">
        <v>122</v>
      </c>
      <c r="L18" s="47">
        <v>2</v>
      </c>
      <c r="M18" s="46">
        <f t="shared" si="1"/>
        <v>20</v>
      </c>
      <c r="N18" s="46">
        <v>100</v>
      </c>
      <c r="O18" s="53">
        <v>0.1046</v>
      </c>
      <c r="P18" s="53">
        <f>O18*N18</f>
        <v>10.459999999999999</v>
      </c>
      <c r="Q18" s="48"/>
      <c r="R18" s="48"/>
      <c r="T18" s="77"/>
      <c r="V18" s="77"/>
    </row>
    <row r="19" spans="1:22" ht="15.75" thickBot="1" x14ac:dyDescent="0.3">
      <c r="A19" s="1"/>
      <c r="B19" s="38">
        <f t="shared" si="0"/>
        <v>10</v>
      </c>
      <c r="C19" s="60" t="s">
        <v>143</v>
      </c>
      <c r="D19" s="50" t="s">
        <v>16</v>
      </c>
      <c r="E19" s="51" t="s">
        <v>45</v>
      </c>
      <c r="F19" s="50" t="s">
        <v>69</v>
      </c>
      <c r="G19" s="51" t="s">
        <v>88</v>
      </c>
      <c r="H19" s="50" t="s">
        <v>105</v>
      </c>
      <c r="I19" s="50" t="s">
        <v>186</v>
      </c>
      <c r="J19" s="50" t="s">
        <v>161</v>
      </c>
      <c r="K19" s="50" t="s">
        <v>186</v>
      </c>
      <c r="L19" s="51">
        <v>1</v>
      </c>
      <c r="M19" s="50">
        <f t="shared" si="1"/>
        <v>10</v>
      </c>
      <c r="N19" s="50">
        <v>20</v>
      </c>
      <c r="O19" s="54">
        <v>0.1431</v>
      </c>
      <c r="P19" s="54">
        <f>O19*N19</f>
        <v>2.8620000000000001</v>
      </c>
      <c r="Q19" s="52"/>
      <c r="R19" s="52"/>
      <c r="T19" s="77"/>
      <c r="V19" s="77"/>
    </row>
    <row r="20" spans="1:22" ht="24.75" thickBot="1" x14ac:dyDescent="0.3">
      <c r="A20" s="1"/>
      <c r="B20" s="38">
        <f>ROW(B20) - ROW($B$9)</f>
        <v>11</v>
      </c>
      <c r="C20" s="59" t="s">
        <v>144</v>
      </c>
      <c r="D20" s="46" t="s">
        <v>17</v>
      </c>
      <c r="E20" s="47" t="s">
        <v>46</v>
      </c>
      <c r="F20" s="46" t="s">
        <v>70</v>
      </c>
      <c r="G20" s="47" t="s">
        <v>182</v>
      </c>
      <c r="H20" s="46"/>
      <c r="I20" s="46" t="s">
        <v>186</v>
      </c>
      <c r="J20" s="46" t="s">
        <v>162</v>
      </c>
      <c r="K20" s="46" t="s">
        <v>123</v>
      </c>
      <c r="L20" s="47">
        <v>1</v>
      </c>
      <c r="M20" s="46">
        <f t="shared" si="1"/>
        <v>10</v>
      </c>
      <c r="N20" s="46">
        <v>15</v>
      </c>
      <c r="O20" s="53">
        <v>0.2838</v>
      </c>
      <c r="P20" s="53">
        <f>O20*N20</f>
        <v>4.2569999999999997</v>
      </c>
      <c r="Q20" s="48"/>
      <c r="R20" s="48"/>
      <c r="T20" s="77"/>
      <c r="V20" s="77"/>
    </row>
    <row r="21" spans="1:22" ht="24.75" thickBot="1" x14ac:dyDescent="0.3">
      <c r="A21" s="1"/>
      <c r="B21" s="38">
        <f t="shared" si="0"/>
        <v>12</v>
      </c>
      <c r="C21" s="60" t="s">
        <v>144</v>
      </c>
      <c r="D21" s="50" t="s">
        <v>18</v>
      </c>
      <c r="E21" s="51" t="s">
        <v>47</v>
      </c>
      <c r="F21" s="50" t="s">
        <v>70</v>
      </c>
      <c r="G21" s="51" t="s">
        <v>183</v>
      </c>
      <c r="H21" s="50"/>
      <c r="I21" s="50" t="s">
        <v>186</v>
      </c>
      <c r="J21" s="50" t="s">
        <v>163</v>
      </c>
      <c r="K21" s="50" t="s">
        <v>124</v>
      </c>
      <c r="L21" s="51">
        <v>1</v>
      </c>
      <c r="M21" s="50">
        <f t="shared" si="1"/>
        <v>10</v>
      </c>
      <c r="N21" s="50">
        <v>50</v>
      </c>
      <c r="O21" s="54">
        <v>0.11560000000000001</v>
      </c>
      <c r="P21" s="54">
        <f>O21*N21</f>
        <v>5.78</v>
      </c>
      <c r="Q21" s="52"/>
      <c r="R21" s="52"/>
      <c r="T21" s="77"/>
      <c r="V21" s="77"/>
    </row>
    <row r="22" spans="1:22" ht="15.75" thickBot="1" x14ac:dyDescent="0.3">
      <c r="A22" s="1"/>
      <c r="B22" s="38">
        <f>ROW(B22) - ROW($B$9)</f>
        <v>13</v>
      </c>
      <c r="C22" s="59" t="s">
        <v>144</v>
      </c>
      <c r="D22" s="46" t="s">
        <v>19</v>
      </c>
      <c r="E22" s="47" t="s">
        <v>48</v>
      </c>
      <c r="F22" s="46"/>
      <c r="G22" s="47" t="s">
        <v>89</v>
      </c>
      <c r="H22" s="46" t="s">
        <v>106</v>
      </c>
      <c r="I22" s="46" t="s">
        <v>186</v>
      </c>
      <c r="J22" s="46" t="s">
        <v>164</v>
      </c>
      <c r="K22" s="46" t="s">
        <v>125</v>
      </c>
      <c r="L22" s="47">
        <v>1</v>
      </c>
      <c r="M22" s="46">
        <f t="shared" si="1"/>
        <v>10</v>
      </c>
      <c r="N22" s="46">
        <v>15</v>
      </c>
      <c r="O22" s="53">
        <v>0.19790000000000002</v>
      </c>
      <c r="P22" s="53">
        <f>O22*N22</f>
        <v>2.9685000000000001</v>
      </c>
      <c r="Q22" s="48"/>
      <c r="R22" s="48"/>
      <c r="T22" s="77"/>
      <c r="V22" s="77"/>
    </row>
    <row r="23" spans="1:22" ht="24.75" thickBot="1" x14ac:dyDescent="0.3">
      <c r="A23" s="1"/>
      <c r="B23" s="38">
        <f t="shared" si="0"/>
        <v>14</v>
      </c>
      <c r="C23" s="60" t="s">
        <v>145</v>
      </c>
      <c r="D23" s="50" t="s">
        <v>20</v>
      </c>
      <c r="E23" s="51" t="s">
        <v>49</v>
      </c>
      <c r="F23" s="50" t="s">
        <v>71</v>
      </c>
      <c r="G23" s="51" t="s">
        <v>90</v>
      </c>
      <c r="H23" s="50" t="s">
        <v>107</v>
      </c>
      <c r="I23" s="50" t="s">
        <v>186</v>
      </c>
      <c r="J23" s="50" t="s">
        <v>165</v>
      </c>
      <c r="K23" s="50" t="s">
        <v>126</v>
      </c>
      <c r="L23" s="51">
        <v>1</v>
      </c>
      <c r="M23" s="50">
        <f t="shared" si="1"/>
        <v>10</v>
      </c>
      <c r="N23" s="50">
        <v>20</v>
      </c>
      <c r="O23" s="54">
        <v>0.1421</v>
      </c>
      <c r="P23" s="54">
        <f>O23*N23</f>
        <v>2.8420000000000001</v>
      </c>
      <c r="Q23" s="52"/>
      <c r="R23" s="52"/>
      <c r="T23" s="77"/>
      <c r="V23" s="77"/>
    </row>
    <row r="24" spans="1:22" ht="24.75" thickBot="1" x14ac:dyDescent="0.3">
      <c r="A24" s="1"/>
      <c r="B24" s="38">
        <f>ROW(B24) - ROW($B$9)</f>
        <v>15</v>
      </c>
      <c r="C24" s="59" t="s">
        <v>145</v>
      </c>
      <c r="D24" s="46" t="s">
        <v>21</v>
      </c>
      <c r="E24" s="47" t="s">
        <v>50</v>
      </c>
      <c r="F24" s="46" t="s">
        <v>72</v>
      </c>
      <c r="G24" s="47" t="s">
        <v>91</v>
      </c>
      <c r="H24" s="46" t="s">
        <v>108</v>
      </c>
      <c r="I24" s="46" t="s">
        <v>186</v>
      </c>
      <c r="J24" s="46" t="s">
        <v>166</v>
      </c>
      <c r="K24" s="46" t="s">
        <v>127</v>
      </c>
      <c r="L24" s="47">
        <v>1</v>
      </c>
      <c r="M24" s="46">
        <f t="shared" si="1"/>
        <v>10</v>
      </c>
      <c r="N24" s="46">
        <v>20</v>
      </c>
      <c r="O24" s="53">
        <v>0.16930000000000001</v>
      </c>
      <c r="P24" s="53">
        <f>O24*N24</f>
        <v>3.3860000000000001</v>
      </c>
      <c r="Q24" s="48"/>
      <c r="R24" s="48"/>
      <c r="T24" s="77"/>
      <c r="V24" s="77"/>
    </row>
    <row r="25" spans="1:22" ht="15.75" thickBot="1" x14ac:dyDescent="0.3">
      <c r="A25" s="1"/>
      <c r="B25" s="38">
        <f t="shared" si="0"/>
        <v>16</v>
      </c>
      <c r="C25" s="60" t="s">
        <v>146</v>
      </c>
      <c r="D25" s="50" t="s">
        <v>22</v>
      </c>
      <c r="E25" s="51" t="s">
        <v>51</v>
      </c>
      <c r="F25" s="50" t="s">
        <v>188</v>
      </c>
      <c r="G25" s="51" t="s">
        <v>73</v>
      </c>
      <c r="H25" s="50" t="s">
        <v>109</v>
      </c>
      <c r="I25" s="50" t="s">
        <v>186</v>
      </c>
      <c r="J25" s="50" t="s">
        <v>167</v>
      </c>
      <c r="K25" s="50" t="s">
        <v>186</v>
      </c>
      <c r="L25" s="51">
        <v>2</v>
      </c>
      <c r="M25" s="50">
        <f t="shared" si="1"/>
        <v>20</v>
      </c>
      <c r="N25" s="50">
        <v>25</v>
      </c>
      <c r="O25" s="54">
        <v>0.2351</v>
      </c>
      <c r="P25" s="54">
        <f>O25*N25</f>
        <v>5.8775000000000004</v>
      </c>
      <c r="Q25" s="52"/>
      <c r="R25" s="52"/>
      <c r="T25" s="77"/>
      <c r="V25" s="77"/>
    </row>
    <row r="26" spans="1:22" ht="15.75" thickBot="1" x14ac:dyDescent="0.3">
      <c r="A26" s="1"/>
      <c r="B26" s="38">
        <f>ROW(B26) - ROW($B$9)</f>
        <v>17</v>
      </c>
      <c r="C26" s="59" t="s">
        <v>147</v>
      </c>
      <c r="D26" s="46" t="s">
        <v>23</v>
      </c>
      <c r="E26" s="47" t="s">
        <v>52</v>
      </c>
      <c r="F26" s="46" t="s">
        <v>74</v>
      </c>
      <c r="G26" s="64">
        <v>61300611121</v>
      </c>
      <c r="H26" s="46" t="s">
        <v>104</v>
      </c>
      <c r="I26" s="46" t="s">
        <v>196</v>
      </c>
      <c r="J26" s="46" t="s">
        <v>168</v>
      </c>
      <c r="K26" s="46" t="s">
        <v>186</v>
      </c>
      <c r="L26" s="47">
        <v>2</v>
      </c>
      <c r="M26" s="46">
        <f t="shared" si="1"/>
        <v>20</v>
      </c>
      <c r="N26" s="46">
        <v>40</v>
      </c>
      <c r="O26" s="53">
        <v>0.13140000000000002</v>
      </c>
      <c r="P26" s="53">
        <f>O26*N26</f>
        <v>5.2560000000000002</v>
      </c>
      <c r="Q26" s="48"/>
      <c r="R26" s="48"/>
      <c r="T26" s="77"/>
      <c r="V26" s="77"/>
    </row>
    <row r="27" spans="1:22" ht="48.75" thickBot="1" x14ac:dyDescent="0.3">
      <c r="A27" s="1"/>
      <c r="B27" s="38">
        <f t="shared" si="0"/>
        <v>18</v>
      </c>
      <c r="C27" s="60" t="s">
        <v>148</v>
      </c>
      <c r="D27" s="50" t="s">
        <v>24</v>
      </c>
      <c r="E27" s="51" t="s">
        <v>53</v>
      </c>
      <c r="F27" s="50" t="s">
        <v>75</v>
      </c>
      <c r="G27" s="51" t="s">
        <v>128</v>
      </c>
      <c r="H27" s="50" t="s">
        <v>194</v>
      </c>
      <c r="I27" s="50" t="s">
        <v>186</v>
      </c>
      <c r="J27" s="50" t="s">
        <v>169</v>
      </c>
      <c r="K27" s="50" t="s">
        <v>186</v>
      </c>
      <c r="L27" s="51">
        <v>1</v>
      </c>
      <c r="M27" s="50">
        <f t="shared" si="1"/>
        <v>10</v>
      </c>
      <c r="N27" s="50">
        <v>20</v>
      </c>
      <c r="O27" s="54">
        <v>0.12190000000000001</v>
      </c>
      <c r="P27" s="54">
        <f>O27*N27</f>
        <v>2.4380000000000002</v>
      </c>
      <c r="Q27" s="52"/>
      <c r="R27" s="52"/>
      <c r="T27" s="77"/>
      <c r="V27" s="77"/>
    </row>
    <row r="28" spans="1:22" ht="36.75" thickBot="1" x14ac:dyDescent="0.3">
      <c r="A28" s="1"/>
      <c r="B28" s="38">
        <f>ROW(B28) - ROW($B$9)</f>
        <v>19</v>
      </c>
      <c r="C28" s="59" t="s">
        <v>148</v>
      </c>
      <c r="D28" s="46" t="s">
        <v>25</v>
      </c>
      <c r="E28" s="47" t="s">
        <v>54</v>
      </c>
      <c r="F28" s="46" t="s">
        <v>76</v>
      </c>
      <c r="G28" s="47" t="s">
        <v>129</v>
      </c>
      <c r="H28" s="46" t="s">
        <v>193</v>
      </c>
      <c r="I28" s="46" t="s">
        <v>186</v>
      </c>
      <c r="J28" s="46" t="s">
        <v>170</v>
      </c>
      <c r="K28" s="46" t="s">
        <v>186</v>
      </c>
      <c r="L28" s="47">
        <v>1</v>
      </c>
      <c r="M28" s="46">
        <f t="shared" si="1"/>
        <v>10</v>
      </c>
      <c r="N28" s="46">
        <v>15</v>
      </c>
      <c r="O28" s="53">
        <v>0.30269999999999997</v>
      </c>
      <c r="P28" s="53">
        <f>O28*N28</f>
        <v>4.5404999999999998</v>
      </c>
      <c r="Q28" s="48"/>
      <c r="R28" s="48"/>
      <c r="T28" s="77"/>
      <c r="V28" s="77"/>
    </row>
    <row r="29" spans="1:22" ht="15.75" thickBot="1" x14ac:dyDescent="0.3">
      <c r="A29" s="1"/>
      <c r="B29" s="38">
        <f t="shared" si="0"/>
        <v>20</v>
      </c>
      <c r="C29" s="60" t="s">
        <v>149</v>
      </c>
      <c r="D29" s="50" t="s">
        <v>26</v>
      </c>
      <c r="E29" s="51" t="s">
        <v>55</v>
      </c>
      <c r="F29" s="50" t="s">
        <v>77</v>
      </c>
      <c r="G29" s="63" t="s">
        <v>184</v>
      </c>
      <c r="H29" s="50" t="s">
        <v>110</v>
      </c>
      <c r="I29" s="50" t="s">
        <v>195</v>
      </c>
      <c r="J29" s="50" t="s">
        <v>171</v>
      </c>
      <c r="K29" s="50" t="s">
        <v>130</v>
      </c>
      <c r="L29" s="51">
        <v>1</v>
      </c>
      <c r="M29" s="50">
        <f t="shared" si="1"/>
        <v>10</v>
      </c>
      <c r="N29" s="50">
        <v>100</v>
      </c>
      <c r="O29" s="54">
        <v>0.1014</v>
      </c>
      <c r="P29" s="54">
        <f>O29*N29</f>
        <v>10.14</v>
      </c>
      <c r="Q29" s="52"/>
      <c r="R29" s="52"/>
      <c r="T29" s="77"/>
      <c r="V29" s="77"/>
    </row>
    <row r="30" spans="1:22" ht="24.75" thickBot="1" x14ac:dyDescent="0.3">
      <c r="A30" s="1"/>
      <c r="B30" s="38">
        <f>ROW(B30) - ROW($B$9)</f>
        <v>21</v>
      </c>
      <c r="C30" s="59" t="s">
        <v>149</v>
      </c>
      <c r="D30" s="46" t="s">
        <v>27</v>
      </c>
      <c r="E30" s="47" t="s">
        <v>56</v>
      </c>
      <c r="F30" s="46" t="s">
        <v>77</v>
      </c>
      <c r="G30" s="47" t="s">
        <v>92</v>
      </c>
      <c r="H30" s="46" t="s">
        <v>100</v>
      </c>
      <c r="I30" s="46" t="s">
        <v>186</v>
      </c>
      <c r="J30" s="46" t="s">
        <v>172</v>
      </c>
      <c r="K30" s="46" t="s">
        <v>131</v>
      </c>
      <c r="L30" s="47">
        <v>8</v>
      </c>
      <c r="M30" s="46">
        <f t="shared" si="1"/>
        <v>80</v>
      </c>
      <c r="N30" s="46">
        <v>100</v>
      </c>
      <c r="O30" s="53">
        <v>0.1017</v>
      </c>
      <c r="P30" s="53">
        <f>O30*N30</f>
        <v>10.17</v>
      </c>
      <c r="Q30" s="48"/>
      <c r="R30" s="48"/>
      <c r="T30" s="77"/>
      <c r="V30" s="77"/>
    </row>
    <row r="31" spans="1:22" ht="15.75" thickBot="1" x14ac:dyDescent="0.3">
      <c r="A31" s="1"/>
      <c r="B31" s="38">
        <f t="shared" si="0"/>
        <v>22</v>
      </c>
      <c r="C31" s="60" t="s">
        <v>149</v>
      </c>
      <c r="D31" s="50" t="s">
        <v>28</v>
      </c>
      <c r="E31" s="51" t="s">
        <v>57</v>
      </c>
      <c r="F31" s="50" t="s">
        <v>78</v>
      </c>
      <c r="G31" s="63" t="s">
        <v>93</v>
      </c>
      <c r="H31" s="50" t="s">
        <v>111</v>
      </c>
      <c r="I31" s="50" t="s">
        <v>197</v>
      </c>
      <c r="J31" s="50" t="s">
        <v>173</v>
      </c>
      <c r="K31" s="50" t="s">
        <v>132</v>
      </c>
      <c r="L31" s="51">
        <v>1</v>
      </c>
      <c r="M31" s="50">
        <f t="shared" si="1"/>
        <v>10</v>
      </c>
      <c r="N31" s="50">
        <v>100</v>
      </c>
      <c r="O31" s="54">
        <v>0.10070000000000001</v>
      </c>
      <c r="P31" s="54">
        <f>O31*N31</f>
        <v>10.07</v>
      </c>
      <c r="Q31" s="52"/>
      <c r="R31" s="52"/>
      <c r="T31" s="77"/>
      <c r="V31" s="77"/>
    </row>
    <row r="32" spans="1:22" ht="15.75" thickBot="1" x14ac:dyDescent="0.3">
      <c r="A32" s="1"/>
      <c r="B32" s="38">
        <f>ROW(B32) - ROW($B$9)</f>
        <v>23</v>
      </c>
      <c r="C32" s="59" t="s">
        <v>149</v>
      </c>
      <c r="D32" s="46" t="s">
        <v>29</v>
      </c>
      <c r="E32" s="47" t="s">
        <v>58</v>
      </c>
      <c r="F32" s="46" t="s">
        <v>77</v>
      </c>
      <c r="G32" s="47" t="s">
        <v>94</v>
      </c>
      <c r="H32" s="46" t="s">
        <v>100</v>
      </c>
      <c r="I32" s="46" t="s">
        <v>186</v>
      </c>
      <c r="J32" s="46" t="s">
        <v>174</v>
      </c>
      <c r="K32" s="46" t="s">
        <v>133</v>
      </c>
      <c r="L32" s="47">
        <v>1</v>
      </c>
      <c r="M32" s="46">
        <f t="shared" si="1"/>
        <v>10</v>
      </c>
      <c r="N32" s="46">
        <v>100</v>
      </c>
      <c r="O32" s="53">
        <v>0.10100000000000001</v>
      </c>
      <c r="P32" s="53">
        <f>O32*N32</f>
        <v>10.100000000000001</v>
      </c>
      <c r="Q32" s="48"/>
      <c r="R32" s="48"/>
      <c r="T32" s="77"/>
      <c r="V32" s="77"/>
    </row>
    <row r="33" spans="1:22" ht="15.75" thickBot="1" x14ac:dyDescent="0.3">
      <c r="A33" s="1"/>
      <c r="B33" s="38">
        <f t="shared" si="0"/>
        <v>24</v>
      </c>
      <c r="C33" s="60" t="s">
        <v>149</v>
      </c>
      <c r="D33" s="50" t="s">
        <v>30</v>
      </c>
      <c r="E33" s="51" t="s">
        <v>59</v>
      </c>
      <c r="F33" s="50" t="s">
        <v>77</v>
      </c>
      <c r="G33" s="51" t="s">
        <v>95</v>
      </c>
      <c r="H33" s="50" t="s">
        <v>100</v>
      </c>
      <c r="I33" s="50" t="s">
        <v>186</v>
      </c>
      <c r="J33" s="50" t="s">
        <v>175</v>
      </c>
      <c r="K33" s="50" t="s">
        <v>134</v>
      </c>
      <c r="L33" s="51">
        <v>4</v>
      </c>
      <c r="M33" s="50">
        <f t="shared" si="1"/>
        <v>40</v>
      </c>
      <c r="N33" s="50">
        <v>100</v>
      </c>
      <c r="O33" s="54">
        <v>0.10120000000000001</v>
      </c>
      <c r="P33" s="54">
        <f>O33*N33</f>
        <v>10.120000000000001</v>
      </c>
      <c r="Q33" s="52"/>
      <c r="R33" s="52"/>
      <c r="T33" s="77"/>
      <c r="V33" s="77"/>
    </row>
    <row r="34" spans="1:22" ht="15.75" thickBot="1" x14ac:dyDescent="0.3">
      <c r="A34" s="1"/>
      <c r="B34" s="38">
        <f>ROW(B34) - ROW($B$9)</f>
        <v>25</v>
      </c>
      <c r="C34" s="59" t="s">
        <v>79</v>
      </c>
      <c r="D34" s="46" t="s">
        <v>31</v>
      </c>
      <c r="E34" s="47" t="s">
        <v>60</v>
      </c>
      <c r="F34" s="46" t="s">
        <v>186</v>
      </c>
      <c r="G34" s="47" t="s">
        <v>186</v>
      </c>
      <c r="H34" s="46" t="s">
        <v>186</v>
      </c>
      <c r="I34" s="46" t="s">
        <v>186</v>
      </c>
      <c r="J34" s="46" t="s">
        <v>186</v>
      </c>
      <c r="K34" s="46" t="s">
        <v>186</v>
      </c>
      <c r="L34" s="47">
        <v>5</v>
      </c>
      <c r="M34" s="46">
        <f t="shared" si="1"/>
        <v>50</v>
      </c>
      <c r="N34" s="46" t="s">
        <v>186</v>
      </c>
      <c r="O34" s="53" t="s">
        <v>186</v>
      </c>
      <c r="P34" s="53" t="s">
        <v>186</v>
      </c>
      <c r="Q34" s="62" t="s">
        <v>187</v>
      </c>
      <c r="R34" s="53" t="s">
        <v>186</v>
      </c>
      <c r="T34" s="77"/>
      <c r="V34" s="77"/>
    </row>
    <row r="35" spans="1:22" ht="48.75" thickBot="1" x14ac:dyDescent="0.3">
      <c r="A35" s="1"/>
      <c r="B35" s="38">
        <f t="shared" si="0"/>
        <v>26</v>
      </c>
      <c r="C35" s="60" t="s">
        <v>150</v>
      </c>
      <c r="D35" s="50" t="s">
        <v>32</v>
      </c>
      <c r="E35" s="51" t="s">
        <v>61</v>
      </c>
      <c r="F35" s="50" t="s">
        <v>188</v>
      </c>
      <c r="G35" s="51" t="s">
        <v>96</v>
      </c>
      <c r="H35" s="50" t="s">
        <v>112</v>
      </c>
      <c r="I35" s="50" t="s">
        <v>186</v>
      </c>
      <c r="J35" s="50" t="s">
        <v>176</v>
      </c>
      <c r="K35" s="50" t="s">
        <v>186</v>
      </c>
      <c r="L35" s="51">
        <v>3</v>
      </c>
      <c r="M35" s="50">
        <f t="shared" si="1"/>
        <v>30</v>
      </c>
      <c r="N35" s="50">
        <v>33</v>
      </c>
      <c r="O35" s="54">
        <v>0.37519999999999998</v>
      </c>
      <c r="P35" s="54">
        <f>O35*N35</f>
        <v>12.381599999999999</v>
      </c>
      <c r="Q35" s="52"/>
      <c r="R35" s="52"/>
      <c r="T35" s="77"/>
      <c r="V35" s="77"/>
    </row>
    <row r="36" spans="1:22" ht="15.75" thickBot="1" x14ac:dyDescent="0.3">
      <c r="A36" s="1"/>
      <c r="B36" s="38">
        <f>ROW(B36) - ROW($B$9)</f>
        <v>27</v>
      </c>
      <c r="C36" s="59" t="s">
        <v>151</v>
      </c>
      <c r="D36" s="46" t="s">
        <v>33</v>
      </c>
      <c r="E36" s="47" t="s">
        <v>62</v>
      </c>
      <c r="F36" s="46" t="s">
        <v>76</v>
      </c>
      <c r="G36" s="47" t="s">
        <v>97</v>
      </c>
      <c r="H36" s="46" t="s">
        <v>113</v>
      </c>
      <c r="I36" s="46" t="s">
        <v>186</v>
      </c>
      <c r="J36" s="46" t="s">
        <v>177</v>
      </c>
      <c r="K36" s="46" t="s">
        <v>186</v>
      </c>
      <c r="L36" s="47">
        <v>1</v>
      </c>
      <c r="M36" s="46">
        <f t="shared" si="1"/>
        <v>10</v>
      </c>
      <c r="N36" s="46">
        <v>11</v>
      </c>
      <c r="O36" s="53">
        <v>2.5839000000000003</v>
      </c>
      <c r="P36" s="53">
        <f>O36*N36</f>
        <v>28.422900000000002</v>
      </c>
      <c r="Q36" s="48"/>
      <c r="R36" s="48"/>
      <c r="T36" s="77"/>
      <c r="V36" s="77"/>
    </row>
    <row r="37" spans="1:22" ht="36.75" thickBot="1" x14ac:dyDescent="0.3">
      <c r="A37" s="1"/>
      <c r="B37" s="38">
        <f t="shared" si="0"/>
        <v>28</v>
      </c>
      <c r="C37" s="60" t="s">
        <v>151</v>
      </c>
      <c r="D37" s="50" t="s">
        <v>34</v>
      </c>
      <c r="E37" s="51" t="s">
        <v>63</v>
      </c>
      <c r="F37" s="50" t="s">
        <v>80</v>
      </c>
      <c r="G37" s="51" t="s">
        <v>98</v>
      </c>
      <c r="H37" s="50" t="s">
        <v>114</v>
      </c>
      <c r="I37" s="50" t="s">
        <v>186</v>
      </c>
      <c r="J37" s="50"/>
      <c r="K37" s="50" t="s">
        <v>186</v>
      </c>
      <c r="L37" s="51">
        <v>1</v>
      </c>
      <c r="M37" s="61">
        <f t="shared" si="1"/>
        <v>10</v>
      </c>
      <c r="N37" s="50">
        <v>11</v>
      </c>
      <c r="O37" s="54">
        <v>5.25</v>
      </c>
      <c r="P37" s="54">
        <f>O37*N37</f>
        <v>57.75</v>
      </c>
      <c r="Q37" s="52"/>
      <c r="R37" s="52"/>
      <c r="T37" s="77"/>
      <c r="V37" s="77"/>
    </row>
    <row r="38" spans="1:22" ht="19.5" thickBot="1" x14ac:dyDescent="0.3">
      <c r="A38" s="1"/>
      <c r="B38" s="33"/>
      <c r="C38" s="44"/>
      <c r="D38" s="34"/>
      <c r="E38" s="35"/>
      <c r="F38" s="36"/>
      <c r="G38" s="37"/>
      <c r="H38" s="36"/>
      <c r="I38" s="37"/>
      <c r="J38" s="36"/>
      <c r="K38" s="37"/>
      <c r="L38" s="37"/>
      <c r="M38" s="37"/>
      <c r="N38" s="75" t="s">
        <v>198</v>
      </c>
      <c r="O38" s="76"/>
      <c r="P38" s="65">
        <f>SUM(P10:P37)</f>
        <v>257.33039999999994</v>
      </c>
      <c r="Q38" s="71"/>
      <c r="R38" s="72"/>
    </row>
    <row r="39" spans="1:22" ht="19.5" thickBot="1" x14ac:dyDescent="0.3">
      <c r="A39" s="1"/>
      <c r="B39" s="25"/>
      <c r="C39" s="45"/>
      <c r="D39" s="9"/>
      <c r="E39" s="10"/>
      <c r="F39" s="10"/>
      <c r="G39" s="10"/>
      <c r="H39" s="10"/>
      <c r="I39" s="10"/>
      <c r="J39" s="10"/>
      <c r="K39" s="10"/>
      <c r="L39" s="10"/>
      <c r="M39" s="10"/>
      <c r="N39" s="75" t="s">
        <v>199</v>
      </c>
      <c r="O39" s="76"/>
      <c r="P39" s="66">
        <f>P38/10</f>
        <v>25.733039999999995</v>
      </c>
      <c r="Q39" s="73"/>
      <c r="R39" s="74"/>
    </row>
  </sheetData>
  <mergeCells count="5">
    <mergeCell ref="K1:R1"/>
    <mergeCell ref="R3:R8"/>
    <mergeCell ref="Q38:R39"/>
    <mergeCell ref="N38:O38"/>
    <mergeCell ref="N39:O39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HP</cp:lastModifiedBy>
  <dcterms:created xsi:type="dcterms:W3CDTF">2019-12-12T10:34:26Z</dcterms:created>
  <dcterms:modified xsi:type="dcterms:W3CDTF">2022-11-01T09:04:30Z</dcterms:modified>
</cp:coreProperties>
</file>