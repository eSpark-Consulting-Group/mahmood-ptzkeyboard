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97A8166-CEBD-4A4F-9B25-EAB2C2521F06}" xr6:coauthVersionLast="47" xr6:coauthVersionMax="47" xr10:uidLastSave="{00000000-0000-0000-0000-000000000000}"/>
  <bookViews>
    <workbookView xWindow="1950" yWindow="8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39" i="1" l="1"/>
  <c r="Q38" i="1"/>
  <c r="M11" i="1" l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5" i="1"/>
  <c r="Q36" i="1"/>
  <c r="Q37" i="1"/>
  <c r="Q10" i="1"/>
  <c r="B37" i="1" l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<sst xmlns="http://schemas.openxmlformats.org/spreadsheetml/2006/main" count="306" uniqueCount="203">
  <si>
    <t>Component list</t>
  </si>
  <si>
    <t>Source Data From:</t>
  </si>
  <si>
    <t>Project:</t>
  </si>
  <si>
    <t>Variant:</t>
  </si>
  <si>
    <t>#</t>
  </si>
  <si>
    <t>None</t>
  </si>
  <si>
    <t>Designator</t>
  </si>
  <si>
    <t>C1</t>
  </si>
  <si>
    <t>C2</t>
  </si>
  <si>
    <t>C3, C4</t>
  </si>
  <si>
    <t>C5, C6, C13, C17</t>
  </si>
  <si>
    <t>C7, C8</t>
  </si>
  <si>
    <t>C9, C10, C12</t>
  </si>
  <si>
    <t>C11</t>
  </si>
  <si>
    <t>C14</t>
  </si>
  <si>
    <t>C15, C16</t>
  </si>
  <si>
    <t>D1</t>
  </si>
  <si>
    <t>L1</t>
  </si>
  <si>
    <t>L2</t>
  </si>
  <si>
    <t>L3</t>
  </si>
  <si>
    <t>LED1</t>
  </si>
  <si>
    <t>LED2</t>
  </si>
  <si>
    <t>P1, P2</t>
  </si>
  <si>
    <t>P3, P4</t>
  </si>
  <si>
    <t>Q1</t>
  </si>
  <si>
    <t>Q2</t>
  </si>
  <si>
    <t>R1</t>
  </si>
  <si>
    <t>R2, R3, R4, R5, R8, R9, R10, R11</t>
  </si>
  <si>
    <t>R6</t>
  </si>
  <si>
    <t>R7</t>
  </si>
  <si>
    <t>R13, R14, R18, R19</t>
  </si>
  <si>
    <t>SB1, SB2, SB3, SB4, SB5</t>
  </si>
  <si>
    <t>SW1, SW2, SW3</t>
  </si>
  <si>
    <t>U1</t>
  </si>
  <si>
    <t>U4</t>
  </si>
  <si>
    <t>Description</t>
  </si>
  <si>
    <t>CAP CER 22UF 10V X5R 0603</t>
  </si>
  <si>
    <t>VZT Series 50 V 330 uF 105°C 10 x 10 mm SMT Aluminum Electrolytic Capacitor</t>
  </si>
  <si>
    <t>CAP CER 1UF 100V X7R 1206</t>
  </si>
  <si>
    <t>CAP CER 0.1UF 100V X7R 0603</t>
  </si>
  <si>
    <t>100V 10nF X7R ±10% 0603 Multilayer Ceramic Capacitors MLCC - SMD/SMT ROHS</t>
  </si>
  <si>
    <t>CAP CER 1UF 25V X5R 0603</t>
  </si>
  <si>
    <t>CAP CER 47PF 100V NPO 0603</t>
  </si>
  <si>
    <t>CAP TANT 100UF 20% 25V 2917</t>
  </si>
  <si>
    <t>CAP CER 1000PF 100V X7R 0402</t>
  </si>
  <si>
    <t>Diode Switching 50V 1A 2-Pin SMA T/R</t>
  </si>
  <si>
    <t>47uH ±20% 0603 Inductors (SMD) ROHS</t>
  </si>
  <si>
    <t>22uH ±10% 0603 Inductors (SMD) ROHS</t>
  </si>
  <si>
    <t>FIXED IND 1UH 5.8A 26 MOHM SMD</t>
  </si>
  <si>
    <t>Standard LEDs - SMD SMD LED Red 631nm 54mcd 130VA</t>
  </si>
  <si>
    <t>Green 520~535nm 0402 Light Emitting Diodes (LED) RoHS</t>
  </si>
  <si>
    <t>P=5.0mm Screw terminal RoHS</t>
  </si>
  <si>
    <t>CONN HEADER 6 POS 2.54</t>
  </si>
  <si>
    <t>100nA 50V 225mW 1.5A 500mV@800mA,80mA NPN -55℃~+150℃@(Tj) SOT-23(SOT-23-3) Bipolar Transistors - BJT ROHS</t>
  </si>
  <si>
    <t>60V 8A 2.1W 20mΩ@10V,8A 2.2V@250uA N Channel SOP-8 MOSFETs ROHS</t>
  </si>
  <si>
    <t>RES SMD 22 OHM 5% 1/3W 0603</t>
  </si>
  <si>
    <t>RES SMD 10K OHM 5% 1/10W 0603</t>
  </si>
  <si>
    <t>RES SMD 1K OHM 5% 1/10W 0402</t>
  </si>
  <si>
    <t>RES SMD 4.7K OHM 5% 1/10W 0603</t>
  </si>
  <si>
    <t>RES SMD 5.1K OHM 5% 1/10W 0603</t>
  </si>
  <si>
    <t>Solder Bridge ON</t>
  </si>
  <si>
    <t>Shrouded 5A SPDT 125V 6.3mm 13.5mm 125V 6.6mm 5A PCPin 10000 Rectangular columnar -40℃~+85℃ Black Plugin Slide Switches ROHS</t>
  </si>
  <si>
    <t>SOP-8 Position Sensor ROHS</t>
  </si>
  <si>
    <t>40-V max, 8-A peak, sensorless FOC control 3-phase BLDC motor driver 40-VQFN -40 to 125</t>
  </si>
  <si>
    <t>Footprint</t>
  </si>
  <si>
    <t>Cap-0603</t>
  </si>
  <si>
    <t>Cap-1206</t>
  </si>
  <si>
    <t>Case-E</t>
  </si>
  <si>
    <t>Cap-0402</t>
  </si>
  <si>
    <t>SMA</t>
  </si>
  <si>
    <t>IND-0603 (1608 Metric)</t>
  </si>
  <si>
    <t>LED 0402</t>
  </si>
  <si>
    <t>LED-0402</t>
  </si>
  <si>
    <t>WJ301V-5.0-3P</t>
  </si>
  <si>
    <t>HDR1X6_</t>
  </si>
  <si>
    <t>SOT-23-3L_</t>
  </si>
  <si>
    <t>SOP-8</t>
  </si>
  <si>
    <t>Res-0603</t>
  </si>
  <si>
    <t>Res0402</t>
  </si>
  <si>
    <t>Solder Bridge</t>
  </si>
  <si>
    <t>40-VQFN (7x5)</t>
  </si>
  <si>
    <t>Manufacturer Part Number</t>
  </si>
  <si>
    <t>CC0603MRX5R6BB226</t>
  </si>
  <si>
    <t>GRM31CR72A105KA01K</t>
  </si>
  <si>
    <t>CC0603KRX7R0BB104</t>
  </si>
  <si>
    <t>CC0603KRX5R8BB105</t>
  </si>
  <si>
    <t>AC0603JRNPO0BN470</t>
  </si>
  <si>
    <t>TAJE107M025RNJ</t>
  </si>
  <si>
    <t>S1A-13-F</t>
  </si>
  <si>
    <t>WPN4020H1R0MT</t>
  </si>
  <si>
    <t>LTST-C281KRKT</t>
  </si>
  <si>
    <t>16-213/GHC-YR1S1/3T</t>
  </si>
  <si>
    <t>AC0603JR-0710KL</t>
  </si>
  <si>
    <t>ERJ-2GEJ102X</t>
  </si>
  <si>
    <t>RC0603JR-074K7L</t>
  </si>
  <si>
    <t>RC0603JR-075K1L</t>
  </si>
  <si>
    <t>SS-12D11G5R</t>
  </si>
  <si>
    <t>MT6701CT-STD-R</t>
  </si>
  <si>
    <t>MCF8316A1VRGFR</t>
  </si>
  <si>
    <t>Manufacturer</t>
  </si>
  <si>
    <t>Yageo</t>
  </si>
  <si>
    <t>Surge Components</t>
  </si>
  <si>
    <t>Murata</t>
  </si>
  <si>
    <t>Kyocera AVX</t>
  </si>
  <si>
    <t>Wurth Electronics</t>
  </si>
  <si>
    <t>Diodes</t>
  </si>
  <si>
    <t>Sunlord</t>
  </si>
  <si>
    <t>Vishay Lite-On</t>
  </si>
  <si>
    <t>Everlight Elec</t>
  </si>
  <si>
    <t>Ningbo Kangnex Elec</t>
  </si>
  <si>
    <t>Vishay Dale</t>
  </si>
  <si>
    <t>Panasonic</t>
  </si>
  <si>
    <t>XKB Connectivity</t>
  </si>
  <si>
    <t>Magn Tek</t>
  </si>
  <si>
    <t>Texas Instruments</t>
  </si>
  <si>
    <t>22uF</t>
  </si>
  <si>
    <t>330uF</t>
  </si>
  <si>
    <t>1uF</t>
  </si>
  <si>
    <t>0.1uF</t>
  </si>
  <si>
    <t>10nF</t>
  </si>
  <si>
    <t>47pF</t>
  </si>
  <si>
    <t>100uF</t>
  </si>
  <si>
    <t>1000pF</t>
  </si>
  <si>
    <t>47uH</t>
  </si>
  <si>
    <t>22uH</t>
  </si>
  <si>
    <t>1uH</t>
  </si>
  <si>
    <t>Red</t>
  </si>
  <si>
    <t>Green</t>
  </si>
  <si>
    <t>LH8050QLT1G</t>
  </si>
  <si>
    <t>NCE6008AS</t>
  </si>
  <si>
    <t>22R</t>
  </si>
  <si>
    <t>10K</t>
  </si>
  <si>
    <t>1K</t>
  </si>
  <si>
    <t>4.7K</t>
  </si>
  <si>
    <t>5.1K</t>
  </si>
  <si>
    <t>Quantity</t>
  </si>
  <si>
    <t>Item Type</t>
  </si>
  <si>
    <t>Alternate Part Number</t>
  </si>
  <si>
    <t>LCSC/Part Number</t>
  </si>
  <si>
    <t xml:space="preserve">Value </t>
  </si>
  <si>
    <t>Links</t>
  </si>
  <si>
    <t>Remarks</t>
  </si>
  <si>
    <t>Reviewer Remarks</t>
  </si>
  <si>
    <t>Capacitor</t>
  </si>
  <si>
    <t>Diode</t>
  </si>
  <si>
    <t>Inductor</t>
  </si>
  <si>
    <t>LED</t>
  </si>
  <si>
    <t xml:space="preserve">Terminal Block </t>
  </si>
  <si>
    <t>Header</t>
  </si>
  <si>
    <t>Mosfet</t>
  </si>
  <si>
    <t>Resistor</t>
  </si>
  <si>
    <t>Switch</t>
  </si>
  <si>
    <t>IC</t>
  </si>
  <si>
    <t>C109447</t>
  </si>
  <si>
    <t>C249985</t>
  </si>
  <si>
    <t>C909823</t>
  </si>
  <si>
    <t>C113803</t>
  </si>
  <si>
    <t>C149602</t>
  </si>
  <si>
    <t>C14664</t>
  </si>
  <si>
    <t>C389107</t>
  </si>
  <si>
    <t>C7230</t>
  </si>
  <si>
    <t>C527013</t>
  </si>
  <si>
    <t>C150735</t>
  </si>
  <si>
    <t>C307679</t>
  </si>
  <si>
    <t>C361669</t>
  </si>
  <si>
    <t>C98359</t>
  </si>
  <si>
    <t>C364556</t>
  </si>
  <si>
    <t>C74338</t>
  </si>
  <si>
    <t>C8483</t>
  </si>
  <si>
    <t>C358687</t>
  </si>
  <si>
    <t>C132810</t>
  </si>
  <si>
    <t>C341716</t>
  </si>
  <si>
    <t>C107701</t>
  </si>
  <si>
    <t>C140867</t>
  </si>
  <si>
    <t>C2935237</t>
  </si>
  <si>
    <t>C105428</t>
  </si>
  <si>
    <t>C14677</t>
  </si>
  <si>
    <t>C388633</t>
  </si>
  <si>
    <t>C3003196</t>
  </si>
  <si>
    <t>LCSC</t>
  </si>
  <si>
    <t>Bill of Materials for Project [BOB]</t>
  </si>
  <si>
    <t>BOB</t>
  </si>
  <si>
    <t>VZT331M1HTR-1010</t>
  </si>
  <si>
    <t>AC0603KRX7R0BB103</t>
  </si>
  <si>
    <t>GLFR1608T470M-LR</t>
  </si>
  <si>
    <t>CMI160808J220KT</t>
  </si>
  <si>
    <t>CRCW060322R0JNEA</t>
  </si>
  <si>
    <t>CC0402KRX7R0BB102</t>
  </si>
  <si>
    <t>-</t>
  </si>
  <si>
    <t>DO NOT MOUNT</t>
  </si>
  <si>
    <t>Custom</t>
  </si>
  <si>
    <t>Quantity (10 Boards)</t>
  </si>
  <si>
    <t>MOQ (10 Boards)</t>
  </si>
  <si>
    <t>Unit Cost (10 Boards)</t>
  </si>
  <si>
    <t>Total Cost (10 Boards)</t>
  </si>
  <si>
    <t>Wuxi NCE Power Semiconductor</t>
  </si>
  <si>
    <t xml:space="preserve">LRC </t>
  </si>
  <si>
    <t>RC0603FR-0722RL</t>
  </si>
  <si>
    <t>MTP125-1105S1</t>
  </si>
  <si>
    <t>RC0402FR-071KL</t>
  </si>
  <si>
    <t xml:space="preserve">Total Component Cost </t>
  </si>
  <si>
    <t>Single Board Cost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</si>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</sst>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165" fontId="22" fillId="2" borderId="16" xfId="0" applyNumberFormat="1" applyFont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4" fillId="3" borderId="22" xfId="0" applyFont="1" applyFill="1" applyBorder="1" applyAlignment="1" applyProtection="1">
      <alignment horizontal="center" vertical="top"/>
      <protection locked="0"/>
    </xf>
    <xf numFmtId="0" fontId="24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Tantalum-Capacitors_Kyocera-AVX-TAJE107M025RNJ_C7230.html" TargetMode="External"/><Relationship Id="rId13" Type="http://schemas.openxmlformats.org/officeDocument/2006/relationships/hyperlink" Target="https://www.lcsc.com/product-detail/Light-Emitting-Diodes-LED_Everlight-Elec-16-213-GHC-YR1S1-3T_C74338.html" TargetMode="External"/><Relationship Id="rId18" Type="http://schemas.openxmlformats.org/officeDocument/2006/relationships/hyperlink" Target="https://www.lcsc.com/product-detail/Chip-Resistor-Surface-Mount_YAGEO-AC0603JR-0710KL_C140867.html" TargetMode="External"/><Relationship Id="rId26" Type="http://schemas.openxmlformats.org/officeDocument/2006/relationships/hyperlink" Target="https://www.lcsc.com/product-detail/Chip-Resistor-Surface-Mount_YAGEO-RC0402FR-071KL_C2935237.html" TargetMode="External"/><Relationship Id="rId3" Type="http://schemas.openxmlformats.org/officeDocument/2006/relationships/hyperlink" Target="https://www.lcsc.com/product-detail/Multilayer-Ceramic-Capacitors-MLCC-SMD-SMT_Murata-Electronics-GRM31CR72A105KA01K_C909823.html" TargetMode="External"/><Relationship Id="rId21" Type="http://schemas.openxmlformats.org/officeDocument/2006/relationships/hyperlink" Target="https://www.lcsc.com/product-detail/Position-Sensor_Magn-Tek-MT6701CT-STD-R_C3003196.html" TargetMode="External"/><Relationship Id="rId7" Type="http://schemas.openxmlformats.org/officeDocument/2006/relationships/hyperlink" Target="https://www.lcsc.com/product-detail/Multilayer-Ceramic-Capacitors-MLCC-SMD-SMT_YAGEO-AC0603JRNPO0BN470_C389107.html" TargetMode="External"/><Relationship Id="rId12" Type="http://schemas.openxmlformats.org/officeDocument/2006/relationships/hyperlink" Target="https://www.lcsc.com/product-detail/Power-Inductors_Sunlord-WPN4020H1R0MT_C98359.html" TargetMode="External"/><Relationship Id="rId17" Type="http://schemas.openxmlformats.org/officeDocument/2006/relationships/hyperlink" Target="https://www.lcsc.com/product-detail/Bipolar-Transistors-BJT_LRC-LH8050QLT1G_C132810.html" TargetMode="External"/><Relationship Id="rId25" Type="http://schemas.openxmlformats.org/officeDocument/2006/relationships/hyperlink" Target="https://www.lcsc.com/product-detail/Chip-Resistor-Surface-Mount_YAGEO-RC0603FR-0722RL_C107701.html" TargetMode="External"/><Relationship Id="rId2" Type="http://schemas.openxmlformats.org/officeDocument/2006/relationships/hyperlink" Target="https://www.lcsc.com/product-detail/Aluminum-Electrolytic-Capacitors-SMD_Lelon-VZT331M1HTR-1010_C249985.html" TargetMode="External"/><Relationship Id="rId16" Type="http://schemas.openxmlformats.org/officeDocument/2006/relationships/hyperlink" Target="https://www.lcsc.com/product-detail/MOSFETs_Wuxi-span-style-background-color-ff0-NCE-span-Power-Semiconductor-NCE6008AS_C341716.html" TargetMode="External"/><Relationship Id="rId20" Type="http://schemas.openxmlformats.org/officeDocument/2006/relationships/hyperlink" Target="https://www.lcsc.com/product-detail/Chip-Resistor-Surface-Mount_YAGEO-RC0603JR-075K1L_C14677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YAGEO-CC0603KRX5R8BB105_C14664.html" TargetMode="External"/><Relationship Id="rId11" Type="http://schemas.openxmlformats.org/officeDocument/2006/relationships/hyperlink" Target="https://www.lcsc.com/product-detail/Inductors-SMD_FH-Guangdong-Fenghua-Advanced-Tech-CMI160808J220KT_C361669.html" TargetMode="External"/><Relationship Id="rId24" Type="http://schemas.openxmlformats.org/officeDocument/2006/relationships/hyperlink" Target="https://www.lcsc.com/product-detail/Pin-Headers_MINTRON-MTP125-1105S1_C358687.html" TargetMode="Externa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Screw-terminal_Ningbo-Kangnex-Elec-WJ301V-5-0-3P_C8483.html" TargetMode="External"/><Relationship Id="rId23" Type="http://schemas.openxmlformats.org/officeDocument/2006/relationships/hyperlink" Target="https://www.lcsc.com/product-detail/Multilayer-Ceramic-Capacitors-MLCC-SMD-SMT_YAGEO-CC0402KRX7R0BB102_C527013.html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lcsc.com/product-detail/Inductors-SMD_TDK-GLFR1608T470M-LR_C307679.html" TargetMode="External"/><Relationship Id="rId19" Type="http://schemas.openxmlformats.org/officeDocument/2006/relationships/hyperlink" Target="https://www.lcsc.com/product-detail/Chip-Resistor-Surface-Mount_YAGEO-RC0603JR-074K7L_C105428.html" TargetMode="External"/><Relationship Id="rId4" Type="http://schemas.openxmlformats.org/officeDocument/2006/relationships/hyperlink" Target="https://www.lcsc.com/product-detail/Multilayer-Ceramic-Capacitors-MLCC-SMD-SMT_YAGEO-CC0603KRX7R0BB104_C113803.html" TargetMode="External"/><Relationship Id="rId9" Type="http://schemas.openxmlformats.org/officeDocument/2006/relationships/hyperlink" Target="https://www.lcsc.com/product-detail/Diodes-General-Purpose_Diodes-Incorporated-S1A-13-F_C150735.html" TargetMode="External"/><Relationship Id="rId14" Type="http://schemas.openxmlformats.org/officeDocument/2006/relationships/hyperlink" Target="https://www.lcsc.com/product-detail/Light-Emitting-Diodes-LED_Lite-On-LTST-C281KRKT_C364556.html" TargetMode="External"/><Relationship Id="rId22" Type="http://schemas.openxmlformats.org/officeDocument/2006/relationships/hyperlink" Target="https://www.lcsc.com/product-detail/Slide-Switches_XKB-Connectivity-SS-12D11G5R_C388633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9"/>
  <sheetViews>
    <sheetView tabSelected="1" topLeftCell="O25" workbookViewId="0">
      <selection activeCell="Q52" sqref="Q5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3" customWidth="1"/>
    <col min="5" max="5" width="30.85546875" customWidth="1"/>
    <col min="6" max="6" width="20.7109375" customWidth="1"/>
    <col min="7" max="7" width="25.28515625" bestFit="1" customWidth="1"/>
    <col min="8" max="8" width="17.28515625" bestFit="1" customWidth="1"/>
    <col min="9" max="9" width="21.5703125" bestFit="1" customWidth="1"/>
    <col min="10" max="10" width="17.5703125" bestFit="1" customWidth="1"/>
    <col min="11" max="11" width="6.5703125" bestFit="1" customWidth="1"/>
    <col min="12" max="12" width="8.7109375" bestFit="1" customWidth="1"/>
    <col min="13" max="13" width="18.28515625" bestFit="1" customWidth="1"/>
    <col min="14" max="14" width="16.140625" bestFit="1" customWidth="1"/>
    <col min="15" max="15" width="7.7109375" customWidth="1"/>
    <col min="16" max="16" width="18.7109375" bestFit="1" customWidth="1"/>
    <col min="17" max="17" width="20.28515625" bestFit="1" customWidth="1"/>
    <col min="18" max="18" width="14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9"/>
      <c r="L1" s="69"/>
      <c r="M1" s="69"/>
      <c r="N1" s="69"/>
      <c r="O1" s="69"/>
      <c r="P1" s="69"/>
      <c r="Q1" s="69"/>
      <c r="R1" s="69"/>
      <c r="S1" s="70"/>
    </row>
    <row r="2" spans="1:19" ht="32.25" thickBot="1" x14ac:dyDescent="0.3">
      <c r="A2" s="1"/>
      <c r="B2" s="21"/>
      <c r="C2" s="39"/>
      <c r="D2" s="11" t="s">
        <v>0</v>
      </c>
      <c r="E2" s="11"/>
      <c r="F2" s="55" t="s">
        <v>180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6" t="s">
        <v>181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1"/>
    </row>
    <row r="4" spans="1:19" x14ac:dyDescent="0.25">
      <c r="A4" s="1"/>
      <c r="B4" s="22"/>
      <c r="C4" s="40"/>
      <c r="D4" s="13" t="s">
        <v>2</v>
      </c>
      <c r="E4" s="13"/>
      <c r="F4" s="57" t="s">
        <v>181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2"/>
    </row>
    <row r="5" spans="1:19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2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2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2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2"/>
    </row>
    <row r="9" spans="1:19" ht="15.75" thickBot="1" x14ac:dyDescent="0.3">
      <c r="A9" s="1"/>
      <c r="B9" s="30" t="s">
        <v>4</v>
      </c>
      <c r="C9" s="30" t="s">
        <v>136</v>
      </c>
      <c r="D9" s="30" t="s">
        <v>6</v>
      </c>
      <c r="E9" s="31" t="s">
        <v>35</v>
      </c>
      <c r="F9" s="30" t="s">
        <v>64</v>
      </c>
      <c r="G9" s="31" t="s">
        <v>81</v>
      </c>
      <c r="H9" s="30" t="s">
        <v>99</v>
      </c>
      <c r="I9" s="30" t="s">
        <v>137</v>
      </c>
      <c r="J9" s="30" t="s">
        <v>138</v>
      </c>
      <c r="K9" s="30" t="s">
        <v>139</v>
      </c>
      <c r="L9" s="31" t="s">
        <v>135</v>
      </c>
      <c r="M9" s="30" t="s">
        <v>191</v>
      </c>
      <c r="N9" s="30" t="s">
        <v>192</v>
      </c>
      <c r="O9" s="30" t="s">
        <v>140</v>
      </c>
      <c r="P9" s="30" t="s">
        <v>193</v>
      </c>
      <c r="Q9" s="30" t="s">
        <v>194</v>
      </c>
      <c r="R9" s="32" t="s">
        <v>141</v>
      </c>
      <c r="S9" s="32" t="s">
        <v>142</v>
      </c>
    </row>
    <row r="10" spans="1:19" ht="15.75" thickBot="1" x14ac:dyDescent="0.3">
      <c r="A10" s="1"/>
      <c r="B10" s="38">
        <f>ROW(B10) - ROW($B$9)</f>
        <v>1</v>
      </c>
      <c r="C10" s="59" t="s">
        <v>143</v>
      </c>
      <c r="D10" s="46" t="s">
        <v>7</v>
      </c>
      <c r="E10" s="47" t="s">
        <v>36</v>
      </c>
      <c r="F10" s="46" t="s">
        <v>65</v>
      </c>
      <c r="G10" s="47" t="s">
        <v>82</v>
      </c>
      <c r="H10" s="46" t="s">
        <v>100</v>
      </c>
      <c r="I10" s="46" t="s">
        <v>188</v>
      </c>
      <c r="J10" s="46" t="s">
        <v>153</v>
      </c>
      <c r="K10" s="46" t="s">
        <v>115</v>
      </c>
      <c r="L10" s="47">
        <v>1</v>
      </c>
      <c r="M10" s="46">
        <f>L10*10</f>
        <v>10</v>
      </c>
      <c r="N10" s="46">
        <v>20</v>
      </c>
      <c r="O10" s="61" t="s">
        <v>179</v>
      </c>
      <c r="P10" s="53">
        <v>3.32E-2</v>
      </c>
      <c r="Q10" s="53">
        <f>P10*N10</f>
        <v>0.66400000000000003</v>
      </c>
      <c r="R10" s="48"/>
      <c r="S10" s="49"/>
    </row>
    <row r="11" spans="1:19" ht="36.75" thickBot="1" x14ac:dyDescent="0.3">
      <c r="A11" s="1"/>
      <c r="B11" s="38">
        <f t="shared" ref="B11:B37" si="0">ROW(B11) - ROW($B$9)</f>
        <v>2</v>
      </c>
      <c r="C11" s="60" t="s">
        <v>143</v>
      </c>
      <c r="D11" s="50" t="s">
        <v>8</v>
      </c>
      <c r="E11" s="51" t="s">
        <v>37</v>
      </c>
      <c r="F11" s="50" t="s">
        <v>190</v>
      </c>
      <c r="G11" s="51" t="s">
        <v>182</v>
      </c>
      <c r="H11" s="50" t="s">
        <v>101</v>
      </c>
      <c r="I11" s="50" t="s">
        <v>188</v>
      </c>
      <c r="J11" s="50" t="s">
        <v>154</v>
      </c>
      <c r="K11" s="50" t="s">
        <v>116</v>
      </c>
      <c r="L11" s="51">
        <v>1</v>
      </c>
      <c r="M11" s="50">
        <f t="shared" ref="M11:M37" si="1">L11*10</f>
        <v>10</v>
      </c>
      <c r="N11" s="50">
        <v>12</v>
      </c>
      <c r="O11" s="62" t="s">
        <v>179</v>
      </c>
      <c r="P11" s="54">
        <v>0.37869999999999998</v>
      </c>
      <c r="Q11" s="54">
        <f t="shared" ref="Q11:Q37" si="2">P11*N11</f>
        <v>4.5443999999999996</v>
      </c>
      <c r="R11" s="52"/>
      <c r="S11" s="52"/>
    </row>
    <row r="12" spans="1:19" ht="15.75" thickBot="1" x14ac:dyDescent="0.3">
      <c r="A12" s="1"/>
      <c r="B12" s="38">
        <f>ROW(B12) - ROW($B$9)</f>
        <v>3</v>
      </c>
      <c r="C12" s="59" t="s">
        <v>143</v>
      </c>
      <c r="D12" s="46" t="s">
        <v>9</v>
      </c>
      <c r="E12" s="47" t="s">
        <v>38</v>
      </c>
      <c r="F12" s="46" t="s">
        <v>66</v>
      </c>
      <c r="G12" s="47" t="s">
        <v>83</v>
      </c>
      <c r="H12" s="46" t="s">
        <v>102</v>
      </c>
      <c r="I12" s="46" t="s">
        <v>188</v>
      </c>
      <c r="J12" s="46" t="s">
        <v>155</v>
      </c>
      <c r="K12" s="46" t="s">
        <v>117</v>
      </c>
      <c r="L12" s="47">
        <v>2</v>
      </c>
      <c r="M12" s="46">
        <f t="shared" si="1"/>
        <v>20</v>
      </c>
      <c r="N12" s="46">
        <v>25</v>
      </c>
      <c r="O12" s="61" t="s">
        <v>179</v>
      </c>
      <c r="P12" s="53">
        <v>0.13780000000000001</v>
      </c>
      <c r="Q12" s="53">
        <f t="shared" si="2"/>
        <v>3.4450000000000003</v>
      </c>
      <c r="R12" s="48"/>
      <c r="S12" s="48"/>
    </row>
    <row r="13" spans="1:19" ht="15.75" thickBot="1" x14ac:dyDescent="0.3">
      <c r="A13" s="1"/>
      <c r="B13" s="38">
        <f t="shared" si="0"/>
        <v>4</v>
      </c>
      <c r="C13" s="60" t="s">
        <v>143</v>
      </c>
      <c r="D13" s="50" t="s">
        <v>10</v>
      </c>
      <c r="E13" s="51" t="s">
        <v>39</v>
      </c>
      <c r="F13" s="50" t="s">
        <v>65</v>
      </c>
      <c r="G13" s="51" t="s">
        <v>84</v>
      </c>
      <c r="H13" s="50" t="s">
        <v>100</v>
      </c>
      <c r="I13" s="50" t="s">
        <v>188</v>
      </c>
      <c r="J13" s="50" t="s">
        <v>156</v>
      </c>
      <c r="K13" s="50" t="s">
        <v>118</v>
      </c>
      <c r="L13" s="51">
        <v>4</v>
      </c>
      <c r="M13" s="50">
        <f t="shared" si="1"/>
        <v>40</v>
      </c>
      <c r="N13" s="50">
        <v>100</v>
      </c>
      <c r="O13" s="62" t="s">
        <v>179</v>
      </c>
      <c r="P13" s="54">
        <v>5.3E-3</v>
      </c>
      <c r="Q13" s="54">
        <f t="shared" si="2"/>
        <v>0.53</v>
      </c>
      <c r="R13" s="52"/>
      <c r="S13" s="52"/>
    </row>
    <row r="14" spans="1:19" ht="36.75" thickBot="1" x14ac:dyDescent="0.3">
      <c r="A14" s="1"/>
      <c r="B14" s="38">
        <f>ROW(B14) - ROW($B$9)</f>
        <v>5</v>
      </c>
      <c r="C14" s="59" t="s">
        <v>143</v>
      </c>
      <c r="D14" s="46" t="s">
        <v>11</v>
      </c>
      <c r="E14" s="47" t="s">
        <v>40</v>
      </c>
      <c r="F14" s="46" t="s">
        <v>65</v>
      </c>
      <c r="G14" s="47" t="s">
        <v>183</v>
      </c>
      <c r="H14" s="46"/>
      <c r="I14" s="46" t="s">
        <v>188</v>
      </c>
      <c r="J14" s="46" t="s">
        <v>157</v>
      </c>
      <c r="K14" s="46" t="s">
        <v>119</v>
      </c>
      <c r="L14" s="47">
        <v>2</v>
      </c>
      <c r="M14" s="46">
        <f t="shared" si="1"/>
        <v>20</v>
      </c>
      <c r="N14" s="46">
        <v>50</v>
      </c>
      <c r="O14" s="61" t="s">
        <v>179</v>
      </c>
      <c r="P14" s="53">
        <v>8.3999999999999995E-3</v>
      </c>
      <c r="Q14" s="53">
        <f t="shared" si="2"/>
        <v>0.42</v>
      </c>
      <c r="R14" s="48"/>
      <c r="S14" s="48"/>
    </row>
    <row r="15" spans="1:19" ht="15.75" thickBot="1" x14ac:dyDescent="0.3">
      <c r="A15" s="1"/>
      <c r="B15" s="38">
        <f t="shared" si="0"/>
        <v>6</v>
      </c>
      <c r="C15" s="60" t="s">
        <v>143</v>
      </c>
      <c r="D15" s="50" t="s">
        <v>12</v>
      </c>
      <c r="E15" s="51" t="s">
        <v>41</v>
      </c>
      <c r="F15" s="50" t="s">
        <v>65</v>
      </c>
      <c r="G15" s="51" t="s">
        <v>85</v>
      </c>
      <c r="H15" s="50" t="s">
        <v>100</v>
      </c>
      <c r="I15" s="50" t="s">
        <v>188</v>
      </c>
      <c r="J15" s="50" t="s">
        <v>158</v>
      </c>
      <c r="K15" s="50" t="s">
        <v>117</v>
      </c>
      <c r="L15" s="51">
        <v>3</v>
      </c>
      <c r="M15" s="50">
        <f t="shared" si="1"/>
        <v>30</v>
      </c>
      <c r="N15" s="50">
        <v>100</v>
      </c>
      <c r="O15" s="62" t="s">
        <v>179</v>
      </c>
      <c r="P15" s="54">
        <v>6.0000000000000001E-3</v>
      </c>
      <c r="Q15" s="54">
        <f t="shared" si="2"/>
        <v>0.6</v>
      </c>
      <c r="R15" s="52"/>
      <c r="S15" s="52"/>
    </row>
    <row r="16" spans="1:19" ht="15.75" thickBot="1" x14ac:dyDescent="0.3">
      <c r="A16" s="1"/>
      <c r="B16" s="38">
        <f>ROW(B16) - ROW($B$9)</f>
        <v>7</v>
      </c>
      <c r="C16" s="59" t="s">
        <v>143</v>
      </c>
      <c r="D16" s="46" t="s">
        <v>13</v>
      </c>
      <c r="E16" s="47" t="s">
        <v>42</v>
      </c>
      <c r="F16" s="46" t="s">
        <v>65</v>
      </c>
      <c r="G16" s="47" t="s">
        <v>86</v>
      </c>
      <c r="H16" s="46" t="s">
        <v>100</v>
      </c>
      <c r="I16" s="46" t="s">
        <v>188</v>
      </c>
      <c r="J16" s="46" t="s">
        <v>159</v>
      </c>
      <c r="K16" s="46" t="s">
        <v>120</v>
      </c>
      <c r="L16" s="47">
        <v>1</v>
      </c>
      <c r="M16" s="46">
        <f t="shared" si="1"/>
        <v>10</v>
      </c>
      <c r="N16" s="46">
        <v>50</v>
      </c>
      <c r="O16" s="61" t="s">
        <v>179</v>
      </c>
      <c r="P16" s="53">
        <v>1.3100000000000001E-2</v>
      </c>
      <c r="Q16" s="53">
        <f t="shared" si="2"/>
        <v>0.65500000000000003</v>
      </c>
      <c r="R16" s="48"/>
      <c r="S16" s="48"/>
    </row>
    <row r="17" spans="1:19" ht="15.75" thickBot="1" x14ac:dyDescent="0.3">
      <c r="A17" s="1"/>
      <c r="B17" s="38">
        <f t="shared" si="0"/>
        <v>8</v>
      </c>
      <c r="C17" s="60" t="s">
        <v>143</v>
      </c>
      <c r="D17" s="50" t="s">
        <v>14</v>
      </c>
      <c r="E17" s="51" t="s">
        <v>43</v>
      </c>
      <c r="F17" s="50" t="s">
        <v>67</v>
      </c>
      <c r="G17" s="51" t="s">
        <v>87</v>
      </c>
      <c r="H17" s="50" t="s">
        <v>103</v>
      </c>
      <c r="I17" s="50" t="s">
        <v>188</v>
      </c>
      <c r="J17" s="50" t="s">
        <v>160</v>
      </c>
      <c r="K17" s="50" t="s">
        <v>121</v>
      </c>
      <c r="L17" s="51">
        <v>1</v>
      </c>
      <c r="M17" s="50">
        <f t="shared" si="1"/>
        <v>10</v>
      </c>
      <c r="N17" s="50">
        <v>12</v>
      </c>
      <c r="O17" s="62" t="s">
        <v>179</v>
      </c>
      <c r="P17" s="54">
        <v>0.8125</v>
      </c>
      <c r="Q17" s="54">
        <f t="shared" si="2"/>
        <v>9.75</v>
      </c>
      <c r="R17" s="52"/>
      <c r="S17" s="52"/>
    </row>
    <row r="18" spans="1:19" ht="15.75" thickBot="1" x14ac:dyDescent="0.3">
      <c r="A18" s="1"/>
      <c r="B18" s="38">
        <f>ROW(B18) - ROW($B$9)</f>
        <v>9</v>
      </c>
      <c r="C18" s="59" t="s">
        <v>143</v>
      </c>
      <c r="D18" s="46" t="s">
        <v>15</v>
      </c>
      <c r="E18" s="47" t="s">
        <v>44</v>
      </c>
      <c r="F18" s="46" t="s">
        <v>68</v>
      </c>
      <c r="G18" s="66">
        <v>885012205080</v>
      </c>
      <c r="H18" s="46" t="s">
        <v>104</v>
      </c>
      <c r="I18" s="46" t="s">
        <v>187</v>
      </c>
      <c r="J18" s="46" t="s">
        <v>161</v>
      </c>
      <c r="K18" s="46" t="s">
        <v>122</v>
      </c>
      <c r="L18" s="47">
        <v>2</v>
      </c>
      <c r="M18" s="46">
        <f t="shared" si="1"/>
        <v>20</v>
      </c>
      <c r="N18" s="46">
        <v>100</v>
      </c>
      <c r="O18" s="61" t="s">
        <v>179</v>
      </c>
      <c r="P18" s="53">
        <v>4.5999999999999999E-3</v>
      </c>
      <c r="Q18" s="53">
        <f t="shared" si="2"/>
        <v>0.45999999999999996</v>
      </c>
      <c r="R18" s="48"/>
      <c r="S18" s="48"/>
    </row>
    <row r="19" spans="1:19" ht="15.75" thickBot="1" x14ac:dyDescent="0.3">
      <c r="A19" s="1"/>
      <c r="B19" s="38">
        <f t="shared" si="0"/>
        <v>10</v>
      </c>
      <c r="C19" s="60" t="s">
        <v>144</v>
      </c>
      <c r="D19" s="50" t="s">
        <v>16</v>
      </c>
      <c r="E19" s="51" t="s">
        <v>45</v>
      </c>
      <c r="F19" s="50" t="s">
        <v>69</v>
      </c>
      <c r="G19" s="51" t="s">
        <v>88</v>
      </c>
      <c r="H19" s="50" t="s">
        <v>105</v>
      </c>
      <c r="I19" s="50" t="s">
        <v>188</v>
      </c>
      <c r="J19" s="50" t="s">
        <v>162</v>
      </c>
      <c r="K19" s="50" t="s">
        <v>188</v>
      </c>
      <c r="L19" s="51">
        <v>1</v>
      </c>
      <c r="M19" s="50">
        <f t="shared" si="1"/>
        <v>10</v>
      </c>
      <c r="N19" s="50">
        <v>20</v>
      </c>
      <c r="O19" s="62" t="s">
        <v>179</v>
      </c>
      <c r="P19" s="54">
        <v>4.3099999999999999E-2</v>
      </c>
      <c r="Q19" s="54">
        <f t="shared" si="2"/>
        <v>0.86199999999999999</v>
      </c>
      <c r="R19" s="52"/>
      <c r="S19" s="52"/>
    </row>
    <row r="20" spans="1:19" ht="24.75" thickBot="1" x14ac:dyDescent="0.3">
      <c r="A20" s="1"/>
      <c r="B20" s="38">
        <f>ROW(B20) - ROW($B$9)</f>
        <v>11</v>
      </c>
      <c r="C20" s="59" t="s">
        <v>145</v>
      </c>
      <c r="D20" s="46" t="s">
        <v>17</v>
      </c>
      <c r="E20" s="47" t="s">
        <v>46</v>
      </c>
      <c r="F20" s="46" t="s">
        <v>70</v>
      </c>
      <c r="G20" s="47" t="s">
        <v>184</v>
      </c>
      <c r="H20" s="46"/>
      <c r="I20" s="46" t="s">
        <v>188</v>
      </c>
      <c r="J20" s="46" t="s">
        <v>163</v>
      </c>
      <c r="K20" s="46" t="s">
        <v>123</v>
      </c>
      <c r="L20" s="47">
        <v>1</v>
      </c>
      <c r="M20" s="46">
        <f t="shared" si="1"/>
        <v>10</v>
      </c>
      <c r="N20" s="46">
        <v>15</v>
      </c>
      <c r="O20" s="61" t="s">
        <v>179</v>
      </c>
      <c r="P20" s="53">
        <v>0.18379999999999999</v>
      </c>
      <c r="Q20" s="53">
        <f t="shared" si="2"/>
        <v>2.7569999999999997</v>
      </c>
      <c r="R20" s="48"/>
      <c r="S20" s="48"/>
    </row>
    <row r="21" spans="1:19" ht="24.75" thickBot="1" x14ac:dyDescent="0.3">
      <c r="A21" s="1"/>
      <c r="B21" s="38">
        <f t="shared" si="0"/>
        <v>12</v>
      </c>
      <c r="C21" s="60" t="s">
        <v>145</v>
      </c>
      <c r="D21" s="50" t="s">
        <v>18</v>
      </c>
      <c r="E21" s="51" t="s">
        <v>47</v>
      </c>
      <c r="F21" s="50" t="s">
        <v>70</v>
      </c>
      <c r="G21" s="51" t="s">
        <v>185</v>
      </c>
      <c r="H21" s="50"/>
      <c r="I21" s="50" t="s">
        <v>188</v>
      </c>
      <c r="J21" s="50" t="s">
        <v>164</v>
      </c>
      <c r="K21" s="50" t="s">
        <v>124</v>
      </c>
      <c r="L21" s="51">
        <v>1</v>
      </c>
      <c r="M21" s="50">
        <f t="shared" si="1"/>
        <v>10</v>
      </c>
      <c r="N21" s="50">
        <v>50</v>
      </c>
      <c r="O21" s="62" t="s">
        <v>179</v>
      </c>
      <c r="P21" s="54">
        <v>1.5599999999999999E-2</v>
      </c>
      <c r="Q21" s="54">
        <f t="shared" si="2"/>
        <v>0.77999999999999992</v>
      </c>
      <c r="R21" s="52"/>
      <c r="S21" s="52"/>
    </row>
    <row r="22" spans="1:19" ht="15.75" thickBot="1" x14ac:dyDescent="0.3">
      <c r="A22" s="1"/>
      <c r="B22" s="38">
        <f>ROW(B22) - ROW($B$9)</f>
        <v>13</v>
      </c>
      <c r="C22" s="59" t="s">
        <v>145</v>
      </c>
      <c r="D22" s="46" t="s">
        <v>19</v>
      </c>
      <c r="E22" s="47" t="s">
        <v>48</v>
      </c>
      <c r="F22" s="46"/>
      <c r="G22" s="47" t="s">
        <v>89</v>
      </c>
      <c r="H22" s="46" t="s">
        <v>106</v>
      </c>
      <c r="I22" s="46" t="s">
        <v>188</v>
      </c>
      <c r="J22" s="46" t="s">
        <v>165</v>
      </c>
      <c r="K22" s="46" t="s">
        <v>125</v>
      </c>
      <c r="L22" s="47">
        <v>1</v>
      </c>
      <c r="M22" s="46">
        <f t="shared" si="1"/>
        <v>10</v>
      </c>
      <c r="N22" s="46">
        <v>15</v>
      </c>
      <c r="O22" s="61" t="s">
        <v>179</v>
      </c>
      <c r="P22" s="53">
        <v>9.7900000000000001E-2</v>
      </c>
      <c r="Q22" s="53">
        <f t="shared" si="2"/>
        <v>1.4684999999999999</v>
      </c>
      <c r="R22" s="48"/>
      <c r="S22" s="48"/>
    </row>
    <row r="23" spans="1:19" ht="24.75" thickBot="1" x14ac:dyDescent="0.3">
      <c r="A23" s="1"/>
      <c r="B23" s="38">
        <f t="shared" si="0"/>
        <v>14</v>
      </c>
      <c r="C23" s="60" t="s">
        <v>146</v>
      </c>
      <c r="D23" s="50" t="s">
        <v>20</v>
      </c>
      <c r="E23" s="51" t="s">
        <v>49</v>
      </c>
      <c r="F23" s="50" t="s">
        <v>71</v>
      </c>
      <c r="G23" s="51" t="s">
        <v>90</v>
      </c>
      <c r="H23" s="50" t="s">
        <v>107</v>
      </c>
      <c r="I23" s="50" t="s">
        <v>188</v>
      </c>
      <c r="J23" s="50" t="s">
        <v>166</v>
      </c>
      <c r="K23" s="50" t="s">
        <v>126</v>
      </c>
      <c r="L23" s="51">
        <v>1</v>
      </c>
      <c r="M23" s="50">
        <f t="shared" si="1"/>
        <v>10</v>
      </c>
      <c r="N23" s="50">
        <v>20</v>
      </c>
      <c r="O23" s="62" t="s">
        <v>179</v>
      </c>
      <c r="P23" s="54">
        <v>4.2099999999999999E-2</v>
      </c>
      <c r="Q23" s="54">
        <f t="shared" si="2"/>
        <v>0.84199999999999997</v>
      </c>
      <c r="R23" s="52"/>
      <c r="S23" s="52"/>
    </row>
    <row r="24" spans="1:19" ht="24.75" thickBot="1" x14ac:dyDescent="0.3">
      <c r="A24" s="1"/>
      <c r="B24" s="38">
        <f>ROW(B24) - ROW($B$9)</f>
        <v>15</v>
      </c>
      <c r="C24" s="59" t="s">
        <v>146</v>
      </c>
      <c r="D24" s="46" t="s">
        <v>21</v>
      </c>
      <c r="E24" s="47" t="s">
        <v>50</v>
      </c>
      <c r="F24" s="46" t="s">
        <v>72</v>
      </c>
      <c r="G24" s="47" t="s">
        <v>91</v>
      </c>
      <c r="H24" s="46" t="s">
        <v>108</v>
      </c>
      <c r="I24" s="46" t="s">
        <v>188</v>
      </c>
      <c r="J24" s="46" t="s">
        <v>167</v>
      </c>
      <c r="K24" s="46" t="s">
        <v>127</v>
      </c>
      <c r="L24" s="47">
        <v>1</v>
      </c>
      <c r="M24" s="46">
        <f t="shared" si="1"/>
        <v>10</v>
      </c>
      <c r="N24" s="46">
        <v>20</v>
      </c>
      <c r="O24" s="61" t="s">
        <v>179</v>
      </c>
      <c r="P24" s="53">
        <v>6.93E-2</v>
      </c>
      <c r="Q24" s="53">
        <f t="shared" si="2"/>
        <v>1.3860000000000001</v>
      </c>
      <c r="R24" s="48"/>
      <c r="S24" s="48"/>
    </row>
    <row r="25" spans="1:19" ht="15.75" thickBot="1" x14ac:dyDescent="0.3">
      <c r="A25" s="1"/>
      <c r="B25" s="38">
        <f t="shared" si="0"/>
        <v>16</v>
      </c>
      <c r="C25" s="60" t="s">
        <v>147</v>
      </c>
      <c r="D25" s="50" t="s">
        <v>22</v>
      </c>
      <c r="E25" s="51" t="s">
        <v>51</v>
      </c>
      <c r="F25" s="50" t="s">
        <v>190</v>
      </c>
      <c r="G25" s="51" t="s">
        <v>73</v>
      </c>
      <c r="H25" s="50" t="s">
        <v>109</v>
      </c>
      <c r="I25" s="50" t="s">
        <v>188</v>
      </c>
      <c r="J25" s="50" t="s">
        <v>168</v>
      </c>
      <c r="K25" s="50" t="s">
        <v>188</v>
      </c>
      <c r="L25" s="51">
        <v>2</v>
      </c>
      <c r="M25" s="50">
        <f t="shared" si="1"/>
        <v>20</v>
      </c>
      <c r="N25" s="50">
        <v>25</v>
      </c>
      <c r="O25" s="62" t="s">
        <v>179</v>
      </c>
      <c r="P25" s="54">
        <v>0.1351</v>
      </c>
      <c r="Q25" s="54">
        <f t="shared" si="2"/>
        <v>3.3774999999999999</v>
      </c>
      <c r="R25" s="52"/>
      <c r="S25" s="52"/>
    </row>
    <row r="26" spans="1:19" ht="15.75" thickBot="1" x14ac:dyDescent="0.3">
      <c r="A26" s="1"/>
      <c r="B26" s="38">
        <f>ROW(B26) - ROW($B$9)</f>
        <v>17</v>
      </c>
      <c r="C26" s="59" t="s">
        <v>148</v>
      </c>
      <c r="D26" s="46" t="s">
        <v>23</v>
      </c>
      <c r="E26" s="47" t="s">
        <v>52</v>
      </c>
      <c r="F26" s="46" t="s">
        <v>74</v>
      </c>
      <c r="G26" s="66">
        <v>61300611121</v>
      </c>
      <c r="H26" s="46" t="s">
        <v>104</v>
      </c>
      <c r="I26" s="46" t="s">
        <v>198</v>
      </c>
      <c r="J26" s="46" t="s">
        <v>169</v>
      </c>
      <c r="K26" s="46" t="s">
        <v>188</v>
      </c>
      <c r="L26" s="47">
        <v>2</v>
      </c>
      <c r="M26" s="46">
        <f t="shared" si="1"/>
        <v>20</v>
      </c>
      <c r="N26" s="46">
        <v>40</v>
      </c>
      <c r="O26" s="61" t="s">
        <v>179</v>
      </c>
      <c r="P26" s="53">
        <v>3.1399999999999997E-2</v>
      </c>
      <c r="Q26" s="53">
        <f t="shared" si="2"/>
        <v>1.2559999999999998</v>
      </c>
      <c r="R26" s="48"/>
      <c r="S26" s="48"/>
    </row>
    <row r="27" spans="1:19" ht="48.75" thickBot="1" x14ac:dyDescent="0.3">
      <c r="A27" s="1"/>
      <c r="B27" s="38">
        <f t="shared" si="0"/>
        <v>18</v>
      </c>
      <c r="C27" s="60" t="s">
        <v>149</v>
      </c>
      <c r="D27" s="50" t="s">
        <v>24</v>
      </c>
      <c r="E27" s="51" t="s">
        <v>53</v>
      </c>
      <c r="F27" s="50" t="s">
        <v>75</v>
      </c>
      <c r="G27" s="51" t="s">
        <v>128</v>
      </c>
      <c r="H27" s="50" t="s">
        <v>196</v>
      </c>
      <c r="I27" s="50" t="s">
        <v>188</v>
      </c>
      <c r="J27" s="50" t="s">
        <v>170</v>
      </c>
      <c r="K27" s="50" t="s">
        <v>188</v>
      </c>
      <c r="L27" s="51">
        <v>1</v>
      </c>
      <c r="M27" s="50">
        <f t="shared" si="1"/>
        <v>10</v>
      </c>
      <c r="N27" s="50">
        <v>20</v>
      </c>
      <c r="O27" s="62" t="s">
        <v>179</v>
      </c>
      <c r="P27" s="54">
        <v>2.1899999999999999E-2</v>
      </c>
      <c r="Q27" s="54">
        <f t="shared" si="2"/>
        <v>0.438</v>
      </c>
      <c r="R27" s="52"/>
      <c r="S27" s="52"/>
    </row>
    <row r="28" spans="1:19" ht="36.75" thickBot="1" x14ac:dyDescent="0.3">
      <c r="A28" s="1"/>
      <c r="B28" s="38">
        <f>ROW(B28) - ROW($B$9)</f>
        <v>19</v>
      </c>
      <c r="C28" s="59" t="s">
        <v>149</v>
      </c>
      <c r="D28" s="46" t="s">
        <v>25</v>
      </c>
      <c r="E28" s="47" t="s">
        <v>54</v>
      </c>
      <c r="F28" s="46" t="s">
        <v>76</v>
      </c>
      <c r="G28" s="47" t="s">
        <v>129</v>
      </c>
      <c r="H28" s="46" t="s">
        <v>195</v>
      </c>
      <c r="I28" s="46" t="s">
        <v>188</v>
      </c>
      <c r="J28" s="46" t="s">
        <v>171</v>
      </c>
      <c r="K28" s="46" t="s">
        <v>188</v>
      </c>
      <c r="L28" s="47">
        <v>1</v>
      </c>
      <c r="M28" s="46">
        <f t="shared" si="1"/>
        <v>10</v>
      </c>
      <c r="N28" s="46">
        <v>15</v>
      </c>
      <c r="O28" s="61" t="s">
        <v>179</v>
      </c>
      <c r="P28" s="53">
        <v>0.20269999999999999</v>
      </c>
      <c r="Q28" s="53">
        <f t="shared" si="2"/>
        <v>3.0404999999999998</v>
      </c>
      <c r="R28" s="48"/>
      <c r="S28" s="48"/>
    </row>
    <row r="29" spans="1:19" ht="15.75" thickBot="1" x14ac:dyDescent="0.3">
      <c r="A29" s="1"/>
      <c r="B29" s="38">
        <f t="shared" si="0"/>
        <v>20</v>
      </c>
      <c r="C29" s="60" t="s">
        <v>150</v>
      </c>
      <c r="D29" s="50" t="s">
        <v>26</v>
      </c>
      <c r="E29" s="51" t="s">
        <v>55</v>
      </c>
      <c r="F29" s="50" t="s">
        <v>77</v>
      </c>
      <c r="G29" s="65" t="s">
        <v>186</v>
      </c>
      <c r="H29" s="50" t="s">
        <v>110</v>
      </c>
      <c r="I29" s="50" t="s">
        <v>197</v>
      </c>
      <c r="J29" s="50" t="s">
        <v>172</v>
      </c>
      <c r="K29" s="50" t="s">
        <v>130</v>
      </c>
      <c r="L29" s="51">
        <v>1</v>
      </c>
      <c r="M29" s="50">
        <f t="shared" si="1"/>
        <v>10</v>
      </c>
      <c r="N29" s="50">
        <v>100</v>
      </c>
      <c r="O29" s="62" t="s">
        <v>179</v>
      </c>
      <c r="P29" s="54">
        <v>1.4E-3</v>
      </c>
      <c r="Q29" s="54">
        <f t="shared" si="2"/>
        <v>0.13999999999999999</v>
      </c>
      <c r="R29" s="52"/>
      <c r="S29" s="52"/>
    </row>
    <row r="30" spans="1:19" ht="24.75" thickBot="1" x14ac:dyDescent="0.3">
      <c r="A30" s="1"/>
      <c r="B30" s="38">
        <f>ROW(B30) - ROW($B$9)</f>
        <v>21</v>
      </c>
      <c r="C30" s="59" t="s">
        <v>150</v>
      </c>
      <c r="D30" s="46" t="s">
        <v>27</v>
      </c>
      <c r="E30" s="47" t="s">
        <v>56</v>
      </c>
      <c r="F30" s="46" t="s">
        <v>77</v>
      </c>
      <c r="G30" s="47" t="s">
        <v>92</v>
      </c>
      <c r="H30" s="46" t="s">
        <v>100</v>
      </c>
      <c r="I30" s="46" t="s">
        <v>188</v>
      </c>
      <c r="J30" s="46" t="s">
        <v>173</v>
      </c>
      <c r="K30" s="46" t="s">
        <v>131</v>
      </c>
      <c r="L30" s="47">
        <v>8</v>
      </c>
      <c r="M30" s="46">
        <f t="shared" si="1"/>
        <v>80</v>
      </c>
      <c r="N30" s="46">
        <v>100</v>
      </c>
      <c r="O30" s="61" t="s">
        <v>179</v>
      </c>
      <c r="P30" s="53">
        <v>1.6999999999999999E-3</v>
      </c>
      <c r="Q30" s="53">
        <f t="shared" si="2"/>
        <v>0.16999999999999998</v>
      </c>
      <c r="R30" s="48"/>
      <c r="S30" s="48"/>
    </row>
    <row r="31" spans="1:19" ht="15.75" thickBot="1" x14ac:dyDescent="0.3">
      <c r="A31" s="1"/>
      <c r="B31" s="38">
        <f t="shared" si="0"/>
        <v>22</v>
      </c>
      <c r="C31" s="60" t="s">
        <v>150</v>
      </c>
      <c r="D31" s="50" t="s">
        <v>28</v>
      </c>
      <c r="E31" s="51" t="s">
        <v>57</v>
      </c>
      <c r="F31" s="50" t="s">
        <v>78</v>
      </c>
      <c r="G31" s="65" t="s">
        <v>93</v>
      </c>
      <c r="H31" s="50" t="s">
        <v>111</v>
      </c>
      <c r="I31" s="50" t="s">
        <v>199</v>
      </c>
      <c r="J31" s="50" t="s">
        <v>174</v>
      </c>
      <c r="K31" s="50" t="s">
        <v>132</v>
      </c>
      <c r="L31" s="51">
        <v>1</v>
      </c>
      <c r="M31" s="50">
        <f t="shared" si="1"/>
        <v>10</v>
      </c>
      <c r="N31" s="50">
        <v>100</v>
      </c>
      <c r="O31" s="62" t="s">
        <v>179</v>
      </c>
      <c r="P31" s="54">
        <v>6.9999999999999999E-4</v>
      </c>
      <c r="Q31" s="54">
        <f t="shared" si="2"/>
        <v>6.9999999999999993E-2</v>
      </c>
      <c r="R31" s="52"/>
      <c r="S31" s="52"/>
    </row>
    <row r="32" spans="1:19" ht="15.75" thickBot="1" x14ac:dyDescent="0.3">
      <c r="A32" s="1"/>
      <c r="B32" s="38">
        <f>ROW(B32) - ROW($B$9)</f>
        <v>23</v>
      </c>
      <c r="C32" s="59" t="s">
        <v>150</v>
      </c>
      <c r="D32" s="46" t="s">
        <v>29</v>
      </c>
      <c r="E32" s="47" t="s">
        <v>58</v>
      </c>
      <c r="F32" s="46" t="s">
        <v>77</v>
      </c>
      <c r="G32" s="47" t="s">
        <v>94</v>
      </c>
      <c r="H32" s="46" t="s">
        <v>100</v>
      </c>
      <c r="I32" s="46" t="s">
        <v>188</v>
      </c>
      <c r="J32" s="46" t="s">
        <v>175</v>
      </c>
      <c r="K32" s="46" t="s">
        <v>133</v>
      </c>
      <c r="L32" s="47">
        <v>1</v>
      </c>
      <c r="M32" s="46">
        <f t="shared" si="1"/>
        <v>10</v>
      </c>
      <c r="N32" s="46">
        <v>100</v>
      </c>
      <c r="O32" s="61" t="s">
        <v>179</v>
      </c>
      <c r="P32" s="53">
        <v>1E-3</v>
      </c>
      <c r="Q32" s="53">
        <f t="shared" si="2"/>
        <v>0.1</v>
      </c>
      <c r="R32" s="48"/>
      <c r="S32" s="48"/>
    </row>
    <row r="33" spans="1:19" ht="15.75" thickBot="1" x14ac:dyDescent="0.3">
      <c r="A33" s="1"/>
      <c r="B33" s="38">
        <f t="shared" si="0"/>
        <v>24</v>
      </c>
      <c r="C33" s="60" t="s">
        <v>150</v>
      </c>
      <c r="D33" s="50" t="s">
        <v>30</v>
      </c>
      <c r="E33" s="51" t="s">
        <v>59</v>
      </c>
      <c r="F33" s="50" t="s">
        <v>77</v>
      </c>
      <c r="G33" s="51" t="s">
        <v>95</v>
      </c>
      <c r="H33" s="50" t="s">
        <v>100</v>
      </c>
      <c r="I33" s="50" t="s">
        <v>188</v>
      </c>
      <c r="J33" s="50" t="s">
        <v>176</v>
      </c>
      <c r="K33" s="50" t="s">
        <v>134</v>
      </c>
      <c r="L33" s="51">
        <v>4</v>
      </c>
      <c r="M33" s="50">
        <f t="shared" si="1"/>
        <v>40</v>
      </c>
      <c r="N33" s="50">
        <v>100</v>
      </c>
      <c r="O33" s="62" t="s">
        <v>179</v>
      </c>
      <c r="P33" s="54">
        <v>1.1999999999999999E-3</v>
      </c>
      <c r="Q33" s="54">
        <f t="shared" si="2"/>
        <v>0.12</v>
      </c>
      <c r="R33" s="52"/>
      <c r="S33" s="52"/>
    </row>
    <row r="34" spans="1:19" ht="15.75" thickBot="1" x14ac:dyDescent="0.3">
      <c r="A34" s="1"/>
      <c r="B34" s="38">
        <f>ROW(B34) - ROW($B$9)</f>
        <v>25</v>
      </c>
      <c r="C34" s="59" t="s">
        <v>79</v>
      </c>
      <c r="D34" s="46" t="s">
        <v>31</v>
      </c>
      <c r="E34" s="47" t="s">
        <v>60</v>
      </c>
      <c r="F34" s="46" t="s">
        <v>188</v>
      </c>
      <c r="G34" s="47" t="s">
        <v>188</v>
      </c>
      <c r="H34" s="46" t="s">
        <v>188</v>
      </c>
      <c r="I34" s="46" t="s">
        <v>188</v>
      </c>
      <c r="J34" s="46" t="s">
        <v>188</v>
      </c>
      <c r="K34" s="46" t="s">
        <v>188</v>
      </c>
      <c r="L34" s="47">
        <v>5</v>
      </c>
      <c r="M34" s="46">
        <f t="shared" si="1"/>
        <v>50</v>
      </c>
      <c r="N34" s="46" t="s">
        <v>188</v>
      </c>
      <c r="O34" s="46" t="s">
        <v>188</v>
      </c>
      <c r="P34" s="53" t="s">
        <v>188</v>
      </c>
      <c r="Q34" s="53" t="s">
        <v>188</v>
      </c>
      <c r="R34" s="64" t="s">
        <v>189</v>
      </c>
      <c r="S34" s="53" t="s">
        <v>188</v>
      </c>
    </row>
    <row r="35" spans="1:19" ht="48.75" thickBot="1" x14ac:dyDescent="0.3">
      <c r="A35" s="1"/>
      <c r="B35" s="38">
        <f t="shared" si="0"/>
        <v>26</v>
      </c>
      <c r="C35" s="60" t="s">
        <v>151</v>
      </c>
      <c r="D35" s="50" t="s">
        <v>32</v>
      </c>
      <c r="E35" s="51" t="s">
        <v>61</v>
      </c>
      <c r="F35" s="50" t="s">
        <v>190</v>
      </c>
      <c r="G35" s="51" t="s">
        <v>96</v>
      </c>
      <c r="H35" s="50" t="s">
        <v>112</v>
      </c>
      <c r="I35" s="50" t="s">
        <v>188</v>
      </c>
      <c r="J35" s="50" t="s">
        <v>177</v>
      </c>
      <c r="K35" s="50" t="s">
        <v>188</v>
      </c>
      <c r="L35" s="51">
        <v>3</v>
      </c>
      <c r="M35" s="50">
        <f t="shared" si="1"/>
        <v>30</v>
      </c>
      <c r="N35" s="50">
        <v>33</v>
      </c>
      <c r="O35" s="62" t="s">
        <v>179</v>
      </c>
      <c r="P35" s="54">
        <v>0.2752</v>
      </c>
      <c r="Q35" s="54">
        <f t="shared" si="2"/>
        <v>9.0815999999999999</v>
      </c>
      <c r="R35" s="52"/>
      <c r="S35" s="52"/>
    </row>
    <row r="36" spans="1:19" ht="15.75" thickBot="1" x14ac:dyDescent="0.3">
      <c r="A36" s="1"/>
      <c r="B36" s="38">
        <f>ROW(B36) - ROW($B$9)</f>
        <v>27</v>
      </c>
      <c r="C36" s="59" t="s">
        <v>152</v>
      </c>
      <c r="D36" s="46" t="s">
        <v>33</v>
      </c>
      <c r="E36" s="47" t="s">
        <v>62</v>
      </c>
      <c r="F36" s="46" t="s">
        <v>76</v>
      </c>
      <c r="G36" s="47" t="s">
        <v>97</v>
      </c>
      <c r="H36" s="46" t="s">
        <v>113</v>
      </c>
      <c r="I36" s="46" t="s">
        <v>188</v>
      </c>
      <c r="J36" s="46" t="s">
        <v>178</v>
      </c>
      <c r="K36" s="46" t="s">
        <v>188</v>
      </c>
      <c r="L36" s="47">
        <v>1</v>
      </c>
      <c r="M36" s="46">
        <f t="shared" si="1"/>
        <v>10</v>
      </c>
      <c r="N36" s="46">
        <v>11</v>
      </c>
      <c r="O36" s="61" t="s">
        <v>179</v>
      </c>
      <c r="P36" s="53">
        <v>2.4839000000000002</v>
      </c>
      <c r="Q36" s="53">
        <f t="shared" si="2"/>
        <v>27.322900000000004</v>
      </c>
      <c r="R36" s="48"/>
      <c r="S36" s="48"/>
    </row>
    <row r="37" spans="1:19" ht="45.75" thickBot="1" x14ac:dyDescent="0.3">
      <c r="A37" s="1"/>
      <c r="B37" s="38">
        <f t="shared" si="0"/>
        <v>28</v>
      </c>
      <c r="C37" s="60" t="s">
        <v>152</v>
      </c>
      <c r="D37" s="50" t="s">
        <v>34</v>
      </c>
      <c r="E37" s="51" t="s">
        <v>63</v>
      </c>
      <c r="F37" s="50" t="s">
        <v>80</v>
      </c>
      <c r="G37" s="51" t="s">
        <v>98</v>
      </c>
      <c r="H37" s="50" t="s">
        <v>114</v>
      </c>
      <c r="I37" s="50" t="s">
        <v>188</v>
      </c>
      <c r="J37" s="50"/>
      <c r="K37" s="50" t="s">
        <v>188</v>
      </c>
      <c r="L37" s="51">
        <v>1</v>
      </c>
      <c r="M37" s="63">
        <f t="shared" si="1"/>
        <v>10</v>
      </c>
      <c r="N37" s="50">
        <v>11</v>
      </c>
      <c r="O37" s="62" t="s">
        <v>202</v>
      </c>
      <c r="P37" s="54">
        <v>5.15</v>
      </c>
      <c r="Q37" s="54">
        <f t="shared" si="2"/>
        <v>56.650000000000006</v>
      </c>
      <c r="R37" s="52"/>
      <c r="S37" s="52"/>
    </row>
    <row r="38" spans="1:19" ht="19.5" thickBot="1" x14ac:dyDescent="0.3">
      <c r="A38" s="1"/>
      <c r="B38" s="33"/>
      <c r="C38" s="44"/>
      <c r="D38" s="34"/>
      <c r="E38" s="35"/>
      <c r="F38" s="36"/>
      <c r="G38" s="37"/>
      <c r="H38" s="36"/>
      <c r="I38" s="37"/>
      <c r="J38" s="36"/>
      <c r="K38" s="37"/>
      <c r="L38" s="37"/>
      <c r="M38" s="37"/>
      <c r="N38" s="77" t="s">
        <v>200</v>
      </c>
      <c r="O38" s="78"/>
      <c r="P38" s="78"/>
      <c r="Q38" s="67">
        <f>SUM(Q10:Q37)</f>
        <v>130.93040000000002</v>
      </c>
      <c r="R38" s="73"/>
      <c r="S38" s="74"/>
    </row>
    <row r="39" spans="1:19" ht="19.5" thickBot="1" x14ac:dyDescent="0.3">
      <c r="A39" s="1"/>
      <c r="B39" s="25"/>
      <c r="C39" s="45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77" t="s">
        <v>201</v>
      </c>
      <c r="O39" s="78"/>
      <c r="P39" s="78"/>
      <c r="Q39" s="68">
        <f>Q38/10</f>
        <v>13.093040000000002</v>
      </c>
      <c r="R39" s="75"/>
      <c r="S39" s="76"/>
    </row>
  </sheetData>
  <mergeCells count="5">
    <mergeCell ref="K1:S1"/>
    <mergeCell ref="S3:S8"/>
    <mergeCell ref="R38:S39"/>
    <mergeCell ref="N38:P38"/>
    <mergeCell ref="N39:P39"/>
  </mergeCells>
  <hyperlinks>
    <hyperlink ref="O10" r:id="rId1" xr:uid="{F4798567-38A0-43E2-9A57-E54AB1915E85}"/>
    <hyperlink ref="O11" r:id="rId2" xr:uid="{D4837B47-25F3-42D6-9DFA-6A2DB76AA5DC}"/>
    <hyperlink ref="O12" r:id="rId3" xr:uid="{734FF4A0-7DD9-4CFA-A3E6-57FBD513FFC5}"/>
    <hyperlink ref="O13" r:id="rId4" xr:uid="{C794FEA1-1280-480D-9C5A-555269C50D70}"/>
    <hyperlink ref="O14" r:id="rId5" xr:uid="{BF40CE75-30A2-4BFD-B0CE-BD87CCBE0AD6}"/>
    <hyperlink ref="O15" r:id="rId6" xr:uid="{85E985E6-A1AE-4684-BAB6-E780D442FF70}"/>
    <hyperlink ref="O16" r:id="rId7" xr:uid="{DE2A9CDF-49F2-4FCF-8150-901C47C3B299}"/>
    <hyperlink ref="O17" r:id="rId8" xr:uid="{16530F95-63A1-4D93-B882-BCCBF62F70D5}"/>
    <hyperlink ref="O19" r:id="rId9" xr:uid="{202C0AC1-3D2F-4107-BAF9-59640297F8D1}"/>
    <hyperlink ref="O20" r:id="rId10" xr:uid="{CDB8A34B-8B61-4CE8-9DF9-AFB18DC8AFA4}"/>
    <hyperlink ref="O21" r:id="rId11" xr:uid="{15984F1D-F20E-4036-ACE1-B542B1BA25B5}"/>
    <hyperlink ref="O22" r:id="rId12" xr:uid="{498583F1-9D9D-4069-BEBF-AE1D26ED26B5}"/>
    <hyperlink ref="O24" r:id="rId13" xr:uid="{FB49130B-4676-45E7-8789-AB97FA21BE14}"/>
    <hyperlink ref="O23" r:id="rId14" xr:uid="{68224F4F-B478-4284-9D0F-DDB1B7AC622C}"/>
    <hyperlink ref="O25" r:id="rId15" xr:uid="{284E98D7-94C2-4FA5-9714-3F8EB889D64D}"/>
    <hyperlink ref="O28" r:id="rId16" xr:uid="{7ECC6056-B90E-4A1A-AB0E-3E25B5B02524}"/>
    <hyperlink ref="O27" r:id="rId17" xr:uid="{4420268E-2D08-4545-92A8-F745BF934ABF}"/>
    <hyperlink ref="O30" r:id="rId18" xr:uid="{DF3A801F-21BF-4D7B-84CA-189C7521114D}"/>
    <hyperlink ref="O32" r:id="rId19" xr:uid="{721E5E05-EFF5-452A-B7D5-599A25E1068F}"/>
    <hyperlink ref="O33" r:id="rId20" xr:uid="{B75313CD-7421-4557-B17A-12DA933D9D33}"/>
    <hyperlink ref="O36" r:id="rId21" xr:uid="{01E3417C-EB7C-49EE-A0C1-F26D70C08CA9}"/>
    <hyperlink ref="O35" r:id="rId22" xr:uid="{170A10E6-2632-4E80-9290-22C344C8B67F}"/>
    <hyperlink ref="O18" r:id="rId23" xr:uid="{ACA5EFEC-F85C-48B9-8C67-8CE59A6B862F}"/>
    <hyperlink ref="O26" r:id="rId24" xr:uid="{19D7451A-5A3A-4A47-999C-A6B3C9F51E8F}"/>
    <hyperlink ref="O29" r:id="rId25" xr:uid="{091CBD23-D921-4015-985B-E6E20A2DF817}"/>
    <hyperlink ref="O31" r:id="rId26" xr:uid="{8575D59F-B099-440F-800D-AFD59FD7E1E8}"/>
  </hyperlinks>
  <pageMargins left="0.7" right="0.7" top="0.75" bottom="0.75" header="0.3" footer="0.3"/>
  <pageSetup paperSize="9"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2022-11-01T09:04:29Z</dcterms:modified>
</cp:coreProperties>
</file>