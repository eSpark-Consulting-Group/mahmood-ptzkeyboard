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hmood-PTZKeyboard\Deliverables\BOM\PAC5527\"/>
    </mc:Choice>
  </mc:AlternateContent>
  <bookViews>
    <workbookView xWindow="-120" yWindow="-120" windowWidth="29040" windowHeight="15840" activeTab="1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M40" i="1" l="1"/>
  <c r="Q34" i="1"/>
  <c r="M34" i="1"/>
  <c r="B34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5" i="1"/>
  <c r="B36" i="1"/>
  <c r="B37" i="1"/>
  <c r="B38" i="1"/>
  <c r="B39" i="1"/>
  <c r="B40" i="1"/>
  <c r="B41" i="1"/>
  <c r="B42" i="1"/>
  <c r="B43" i="1"/>
  <c r="B44" i="1"/>
  <c r="B45" i="1"/>
  <c r="Q19" i="1"/>
  <c r="M19" i="1"/>
  <c r="Q34" i="2"/>
  <c r="M34" i="2"/>
  <c r="B34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5" i="2"/>
  <c r="M36" i="2"/>
  <c r="M37" i="2"/>
  <c r="M38" i="2"/>
  <c r="M39" i="2"/>
  <c r="M40" i="2"/>
  <c r="M41" i="2"/>
  <c r="M42" i="2"/>
  <c r="M43" i="2"/>
  <c r="M44" i="2"/>
  <c r="M45" i="2"/>
  <c r="M10" i="2"/>
  <c r="Q19" i="2"/>
  <c r="B19" i="2"/>
  <c r="Q11" i="2" l="1"/>
  <c r="Q12" i="2"/>
  <c r="Q13" i="2"/>
  <c r="Q14" i="2"/>
  <c r="Q15" i="2"/>
  <c r="Q16" i="2"/>
  <c r="Q17" i="2"/>
  <c r="Q18" i="2"/>
  <c r="Q20" i="2"/>
  <c r="Q21" i="2"/>
  <c r="Q22" i="2"/>
  <c r="Q23" i="2"/>
  <c r="Q24" i="2"/>
  <c r="Q26" i="2"/>
  <c r="Q28" i="2"/>
  <c r="Q29" i="2"/>
  <c r="Q30" i="2"/>
  <c r="Q31" i="2"/>
  <c r="Q32" i="2"/>
  <c r="Q33" i="2"/>
  <c r="Q35" i="2"/>
  <c r="Q36" i="2"/>
  <c r="Q37" i="2"/>
  <c r="Q38" i="2"/>
  <c r="Q39" i="2"/>
  <c r="Q40" i="2"/>
  <c r="Q41" i="2"/>
  <c r="Q42" i="2"/>
  <c r="Q43" i="2"/>
  <c r="Q44" i="2"/>
  <c r="Q45" i="2"/>
  <c r="Q10" i="2"/>
  <c r="B45" i="2"/>
  <c r="B44" i="2"/>
  <c r="B43" i="2"/>
  <c r="B42" i="2"/>
  <c r="B41" i="2"/>
  <c r="B40" i="2"/>
  <c r="B39" i="2"/>
  <c r="B38" i="2"/>
  <c r="B37" i="2"/>
  <c r="B36" i="2"/>
  <c r="B35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8" i="2"/>
  <c r="B17" i="2"/>
  <c r="B16" i="2"/>
  <c r="B15" i="2"/>
  <c r="B14" i="2"/>
  <c r="B13" i="2"/>
  <c r="B12" i="2"/>
  <c r="B11" i="2"/>
  <c r="B10" i="2"/>
  <c r="Q11" i="1"/>
  <c r="Q12" i="1"/>
  <c r="Q13" i="1"/>
  <c r="Q14" i="1"/>
  <c r="Q15" i="1"/>
  <c r="Q16" i="1"/>
  <c r="Q17" i="1"/>
  <c r="Q18" i="1"/>
  <c r="Q20" i="1"/>
  <c r="Q21" i="1"/>
  <c r="Q22" i="1"/>
  <c r="Q23" i="1"/>
  <c r="Q24" i="1"/>
  <c r="Q26" i="1"/>
  <c r="Q28" i="1"/>
  <c r="Q29" i="1"/>
  <c r="Q30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10" i="1"/>
  <c r="M25" i="1"/>
  <c r="M43" i="1"/>
  <c r="Q46" i="2" l="1"/>
  <c r="Q47" i="2" s="1"/>
  <c r="M11" i="1"/>
  <c r="Q46" i="1"/>
  <c r="Q47" i="1" s="1"/>
  <c r="M36" i="1"/>
  <c r="M21" i="1" l="1"/>
  <c r="M45" i="1" l="1"/>
  <c r="M44" i="1"/>
  <c r="M42" i="1"/>
  <c r="M41" i="1"/>
  <c r="M31" i="1"/>
  <c r="M39" i="1"/>
  <c r="M38" i="1"/>
  <c r="M37" i="1"/>
  <c r="M35" i="1"/>
  <c r="M30" i="1"/>
  <c r="M33" i="1"/>
  <c r="M32" i="1"/>
  <c r="M29" i="1"/>
  <c r="M28" i="1"/>
  <c r="M26" i="1"/>
  <c r="M24" i="1"/>
  <c r="M23" i="1"/>
  <c r="M22" i="1"/>
  <c r="M20" i="1"/>
  <c r="M18" i="1"/>
  <c r="M17" i="1"/>
  <c r="M16" i="1"/>
  <c r="M15" i="1"/>
  <c r="M14" i="1"/>
  <c r="M13" i="1"/>
  <c r="M12" i="1"/>
  <c r="M10" i="1" l="1"/>
  <c r="B10" i="1"/>
</calcChain>
</file>

<file path=xl/sharedStrings.xml><?xml version="1.0" encoding="utf-8"?>
<sst xmlns="http://schemas.openxmlformats.org/spreadsheetml/2006/main" count="776" uniqueCount="249">
  <si>
    <t>Component list</t>
  </si>
  <si>
    <t>Source Data From:</t>
  </si>
  <si>
    <t>Project:</t>
  </si>
  <si>
    <t>Variant:</t>
  </si>
  <si>
    <t>#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</si>
  <si>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</si>
  <si>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</si>
  <si>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</si>
  <si>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</si>
  <si>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</si>
  <si>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</si>
  <si>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</si>
  <si>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</si>
  <si>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C5</t>
  </si>
  <si>
    <t>C6</t>
  </si>
  <si>
    <t>C13, C14, C15</t>
  </si>
  <si>
    <t>C16, C17, C18</t>
  </si>
  <si>
    <t>C19, C20, C21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</si>
  <si>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</si>
  <si>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</si>
  <si>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</si>
  <si>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</si>
  <si>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</si>
  <si>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</si>
  <si>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</si>
  <si>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</si>
  <si>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</si>
  <si>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R3, R4, R5</t>
  </si>
  <si>
    <t>R6, R7, R8, R18, R19, R20</t>
  </si>
  <si>
    <t>R10, R12, R17</t>
  </si>
  <si>
    <t>R13, R14, R15</t>
  </si>
  <si>
    <t>R21</t>
  </si>
  <si>
    <t>R22</t>
  </si>
  <si>
    <t>R23</t>
  </si>
  <si>
    <t>SW1</t>
  </si>
  <si>
    <t>U1</t>
  </si>
  <si>
    <t>U2</t>
  </si>
  <si>
    <t>U3</t>
  </si>
  <si>
    <t>U4</t>
  </si>
  <si>
    <t>Description</t>
  </si>
  <si>
    <t>CAP CER 22UF 25V X5R 0805</t>
  </si>
  <si>
    <t>CAP CER 1UF 50V X7R 0603</t>
  </si>
  <si>
    <t>CAP CER 1000PF 100V X7R 0402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</si>
  <si>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</si>
  <si>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</si>
  <si>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</si>
  <si>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</si>
  <si>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</si>
  <si>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</si>
  <si>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</si>
  <si>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</si>
  <si>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RES 1 OHM 1% 1/16W 0402</t>
  </si>
  <si>
    <t>RES SMD 100K OHM 5% 1/5W 0603</t>
  </si>
  <si>
    <t>RES 4.3K OHM 0.1% 1/10W 0603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</si>
  <si>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</si>
  <si>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</si>
  <si>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</si>
  <si>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</si>
  <si>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3mm 2mm Round Button 50mA Top3.65mm SPST 12V SMD Tactile Switches</t>
  </si>
  <si>
    <t>PAC5527 48V BLDC Motor Controller and Driver Evaluation Board</t>
  </si>
  <si>
    <t>IC TXRX CAN 3.3V SOT23-8</t>
  </si>
  <si>
    <t>15V 1.3V @ 800mA Fixed 3.3V SOT-223 Linear Voltage Regulators (LDO) ROHS</t>
  </si>
  <si>
    <t>Footprint</t>
  </si>
  <si>
    <t>Cap-0603</t>
  </si>
  <si>
    <t>Cap-0805</t>
  </si>
  <si>
    <t>Cap-0402</t>
  </si>
  <si>
    <t>SOD-323</t>
  </si>
  <si>
    <t>SLF7045T-220MR90-PF</t>
  </si>
  <si>
    <t>LED-0402</t>
  </si>
  <si>
    <t>HDR1X6_</t>
  </si>
  <si>
    <t>HDR1X2_</t>
  </si>
  <si>
    <t>Res-0603</t>
  </si>
  <si>
    <t>Res-0402</t>
  </si>
  <si>
    <t>RES-0603</t>
  </si>
  <si>
    <t>Res0402</t>
  </si>
  <si>
    <t>RES-0805</t>
  </si>
  <si>
    <t>48-QFN (6x6)_</t>
  </si>
  <si>
    <t>SOT-23-8</t>
  </si>
  <si>
    <t>SOT- 223</t>
  </si>
  <si>
    <t>Manufacturer Part Number</t>
  </si>
  <si>
    <t>CL21A226MAYNNNE</t>
  </si>
  <si>
    <t>UMK107AB7105KA-T</t>
  </si>
  <si>
    <t>1N4148WS-7-F</t>
  </si>
  <si>
    <t>16-213/GHC-YR1S1/3T</t>
  </si>
  <si>
    <t>RC0402FR-071RL</t>
  </si>
  <si>
    <t>CRGH0603J100K</t>
  </si>
  <si>
    <t>AR03BTCX4301</t>
  </si>
  <si>
    <t>RT0603DRD07200KL</t>
  </si>
  <si>
    <t>ERJ-2GEJ102X</t>
  </si>
  <si>
    <t>CRCW08054K70FKEAHP</t>
  </si>
  <si>
    <t>RC0603FR-07120RL</t>
  </si>
  <si>
    <t>TS-1185EC-C-D-B</t>
  </si>
  <si>
    <t>PAC5527QMST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</si>
  <si>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</si>
  <si>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</si>
  <si>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</si>
  <si>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</si>
  <si>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</si>
  <si>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</si>
  <si>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</si>
  <si>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Wurth Electronics</t>
  </si>
  <si>
    <t>Diodes</t>
  </si>
  <si>
    <t>Everlight Elec</t>
  </si>
  <si>
    <t>TE Connectivity</t>
  </si>
  <si>
    <t>Viking Tech</t>
  </si>
  <si>
    <t>Panasonic</t>
  </si>
  <si>
    <t>Vishay</t>
  </si>
  <si>
    <t>XKB</t>
  </si>
  <si>
    <t>Qorvo</t>
  </si>
  <si>
    <t>Maxim</t>
  </si>
  <si>
    <t>Diodes Incorporated</t>
  </si>
  <si>
    <t>LCSC Part Number</t>
  </si>
  <si>
    <t>C602037</t>
  </si>
  <si>
    <t>C105174</t>
  </si>
  <si>
    <t>C60580</t>
  </si>
  <si>
    <t>C13754</t>
  </si>
  <si>
    <t>C74338</t>
  </si>
  <si>
    <t>C2828647</t>
  </si>
  <si>
    <t>C313926</t>
  </si>
  <si>
    <t>C114640</t>
  </si>
  <si>
    <t>C318893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</si>
  <si>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</si>
  <si>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</si>
  <si>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</si>
  <si>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</si>
  <si>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</si>
  <si>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</si>
  <si>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</si>
  <si>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</si>
  <si>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</si>
  <si>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</si>
  <si>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</si>
  <si>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1R</t>
  </si>
  <si>
    <t>100R</t>
  </si>
  <si>
    <t>100K</t>
  </si>
  <si>
    <t>4.3k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</si>
  <si>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</si>
  <si>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</si>
  <si>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</si>
  <si>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</si>
  <si>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</si>
  <si>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</si>
  <si>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</si>
  <si>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</si>
  <si>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</si>
  <si>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</si>
  <si>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</si>
  <si>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</si>
  <si>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</si>
  <si>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</si>
  <si>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</si>
  <si>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</si>
  <si>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</si>
  <si>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</si>
  <si>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</si>
  <si>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</si>
  <si>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</si>
  <si>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</si>
  <si>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</si>
  <si>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</si>
  <si>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</si>
  <si>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</si>
  <si>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</si>
  <si>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</si>
  <si>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</si>
  <si>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</si>
  <si>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</si>
  <si>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</si>
  <si>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CC0402KRX7R0BB102</t>
  </si>
  <si>
    <t>C527013</t>
  </si>
  <si>
    <t>PZ254V-11-02P</t>
  </si>
  <si>
    <t>C492401</t>
  </si>
  <si>
    <t>AC0603JR-07100KL</t>
  </si>
  <si>
    <t>C144628</t>
  </si>
  <si>
    <t>RC0402FR-071KL</t>
  </si>
  <si>
    <t>C2935237</t>
  </si>
  <si>
    <t>C112005</t>
  </si>
  <si>
    <t>Total Cost</t>
  </si>
  <si>
    <t>Cost per Board</t>
  </si>
  <si>
    <t>C11, C12</t>
  </si>
  <si>
    <t>D1, D2, D3</t>
  </si>
  <si>
    <t>R2</t>
  </si>
  <si>
    <t>Digital Contactless Angle Sensor with ABZ Incremental &amp; PWM Outputs 3.3V 12-Bit 16-Pin QFN T/R</t>
  </si>
  <si>
    <t>16-QFN (3x3)</t>
  </si>
  <si>
    <t>MA702GQ-Z</t>
  </si>
  <si>
    <t>Monolithic Power Systems</t>
  </si>
  <si>
    <t>R24</t>
  </si>
  <si>
    <t>RES 0 OHM JUMPER 1/10W 0603</t>
  </si>
  <si>
    <t>RC0603JR-070RL</t>
  </si>
  <si>
    <t>0R</t>
  </si>
  <si>
    <t>C95177</t>
  </si>
  <si>
    <t>C501503</t>
  </si>
  <si>
    <t>C137904</t>
  </si>
  <si>
    <t>C105574</t>
  </si>
  <si>
    <t>B-2100S04P-A110</t>
  </si>
  <si>
    <t>B-2100S03P-A110</t>
  </si>
  <si>
    <t>Ckmtw</t>
  </si>
  <si>
    <t>C124378</t>
  </si>
  <si>
    <t>C124376</t>
  </si>
  <si>
    <t>Chipsmall</t>
  </si>
  <si>
    <t>Buy from Chipsmall</t>
  </si>
  <si>
    <t xml:space="preserve">  </t>
  </si>
  <si>
    <t>Bill of Materials for Project [Breakout_Board_PAC5527]</t>
  </si>
  <si>
    <t>Res 2512 0.002 Ohm 1% 3W ±100ppm/C Epoxy Pad SMD Automotive T/R</t>
  </si>
  <si>
    <t>RES-2512</t>
  </si>
  <si>
    <t>PA2512FKF7T0R002E</t>
  </si>
  <si>
    <t>C728320</t>
  </si>
  <si>
    <t>2m</t>
  </si>
  <si>
    <t>PZ254V-11-06P</t>
  </si>
  <si>
    <t>C492405</t>
  </si>
  <si>
    <t>C3, C10, C22</t>
  </si>
  <si>
    <t>Breakout_Board_PAC5527</t>
  </si>
  <si>
    <t>C4, C7, C8, C9</t>
  </si>
  <si>
    <t>C23, C24</t>
  </si>
  <si>
    <t>CAP CER 10UF 10V X5R 0402</t>
  </si>
  <si>
    <t>CC0402MRX5R6BB106</t>
  </si>
  <si>
    <t>C962143</t>
  </si>
  <si>
    <t>10uF</t>
  </si>
  <si>
    <t>R9, R11, R16</t>
  </si>
  <si>
    <t>R1</t>
  </si>
  <si>
    <t>RES 100K OHM 1% 1/16W 0402</t>
  </si>
  <si>
    <t>RC0402FR-07100KL</t>
  </si>
  <si>
    <t>C60491</t>
  </si>
  <si>
    <t>CAP CER 0.1UF 100V X5R 0402</t>
  </si>
  <si>
    <t>GRM155R62A104KE14D</t>
  </si>
  <si>
    <t>Murata</t>
  </si>
  <si>
    <t>C162178</t>
  </si>
  <si>
    <t>CAP CER 2.2UF 25V X5R 0402</t>
  </si>
  <si>
    <t>GRM155R61E225KE11D</t>
  </si>
  <si>
    <t>C385032</t>
  </si>
  <si>
    <t>CAP CER 4.7UF 50V 0402</t>
  </si>
  <si>
    <t>EDK105BBJ475MVLF</t>
  </si>
  <si>
    <t>C412302</t>
  </si>
  <si>
    <t>CAP CER 4.7UF 50V X5R 0805</t>
  </si>
  <si>
    <t>GRM21BR61H475KE51L</t>
  </si>
  <si>
    <t>C162420</t>
  </si>
  <si>
    <t>CAP CER 3.3nF 50V X7R 0402</t>
  </si>
  <si>
    <t>CC0402KRX7R9BB332</t>
  </si>
  <si>
    <t>C107028</t>
  </si>
  <si>
    <t>BSC0702LSATMA1</t>
  </si>
  <si>
    <t>Infineon</t>
  </si>
  <si>
    <t>MOSFET N-CH 60V 100A SUPERSO8</t>
  </si>
  <si>
    <t>PG-TDSON-8</t>
  </si>
  <si>
    <t>RES 100 OHM 1% 1/16W 0402</t>
  </si>
  <si>
    <t>RC0402FR-07100RL</t>
  </si>
  <si>
    <t>C106232</t>
  </si>
  <si>
    <t>HDR1X4_</t>
  </si>
  <si>
    <t>HDR1X3_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</si>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</sst>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13"/>
      <name val="Arial"/>
      <family val="2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4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3" xfId="0" applyFont="1" applyFill="1" applyBorder="1" applyAlignment="1">
      <alignment horizontal="center" vertical="center"/>
    </xf>
    <xf numFmtId="0" fontId="17" fillId="4" borderId="22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/>
    <xf numFmtId="0" fontId="15" fillId="3" borderId="22" xfId="0" quotePrefix="1" applyFont="1" applyFill="1" applyBorder="1" applyAlignment="1">
      <alignment vertic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1" xfId="0" applyFont="1" applyFill="1" applyBorder="1"/>
    <xf numFmtId="166" fontId="17" fillId="3" borderId="25" xfId="0" applyNumberFormat="1" applyFont="1" applyFill="1" applyBorder="1" applyAlignment="1">
      <alignment horizontal="center" vertical="center" wrapText="1"/>
    </xf>
    <xf numFmtId="0" fontId="22" fillId="2" borderId="0" xfId="0" applyFont="1" applyFill="1"/>
    <xf numFmtId="0" fontId="23" fillId="2" borderId="5" xfId="0" applyFont="1" applyFill="1" applyBorder="1" applyAlignment="1">
      <alignment horizontal="center" vertical="center" wrapText="1"/>
    </xf>
    <xf numFmtId="0" fontId="11" fillId="3" borderId="11" xfId="0" applyFont="1" applyFill="1" applyBorder="1"/>
    <xf numFmtId="0" fontId="4" fillId="3" borderId="0" xfId="0" applyFont="1" applyFill="1" applyAlignment="1">
      <alignment horizontal="center"/>
    </xf>
    <xf numFmtId="0" fontId="11" fillId="3" borderId="0" xfId="0" applyFont="1" applyFill="1"/>
    <xf numFmtId="0" fontId="11" fillId="3" borderId="0" xfId="0" quotePrefix="1" applyFont="1" applyFill="1" applyAlignment="1">
      <alignment horizontal="left"/>
    </xf>
    <xf numFmtId="0" fontId="8" fillId="3" borderId="0" xfId="0" applyFont="1" applyFill="1"/>
    <xf numFmtId="0" fontId="6" fillId="3" borderId="0" xfId="0" applyFont="1" applyFill="1" applyAlignment="1">
      <alignment horizontal="center"/>
    </xf>
    <xf numFmtId="0" fontId="16" fillId="3" borderId="0" xfId="0" applyFont="1" applyFill="1"/>
    <xf numFmtId="0" fontId="10" fillId="3" borderId="0" xfId="0" applyFont="1" applyFill="1"/>
    <xf numFmtId="0" fontId="24" fillId="2" borderId="5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/>
    <xf numFmtId="0" fontId="1" fillId="2" borderId="9" xfId="0" applyFont="1" applyFill="1" applyBorder="1" applyAlignmen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0" xfId="0" applyFont="1" applyFill="1" applyAlignment="1">
      <alignment wrapText="1"/>
    </xf>
    <xf numFmtId="0" fontId="11" fillId="4" borderId="26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0" fillId="3" borderId="11" xfId="0" applyFill="1" applyBorder="1" applyAlignment="1"/>
    <xf numFmtId="0" fontId="0" fillId="3" borderId="3" xfId="0" applyFill="1" applyBorder="1" applyAlignment="1"/>
    <xf numFmtId="166" fontId="17" fillId="3" borderId="15" xfId="0" applyNumberFormat="1" applyFont="1" applyFill="1" applyBorder="1" applyAlignment="1">
      <alignment horizontal="center" vertical="center" wrapText="1"/>
    </xf>
    <xf numFmtId="165" fontId="19" fillId="2" borderId="16" xfId="1" applyNumberFormat="1" applyFill="1" applyBorder="1" applyAlignment="1">
      <alignment horizontal="center" vertical="center" wrapText="1"/>
    </xf>
    <xf numFmtId="165" fontId="19" fillId="2" borderId="25" xfId="1" applyNumberFormat="1" applyFill="1" applyBorder="1" applyAlignment="1">
      <alignment horizontal="center" vertical="center" wrapText="1"/>
    </xf>
    <xf numFmtId="0" fontId="26" fillId="2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165" fontId="19" fillId="2" borderId="17" xfId="1" applyNumberForma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27" fillId="2" borderId="17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23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165" fontId="24" fillId="2" borderId="17" xfId="0" applyNumberFormat="1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5" fillId="2" borderId="24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5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/>
    </xf>
    <xf numFmtId="0" fontId="0" fillId="0" borderId="0" xfId="0" applyAlignment="1"/>
    <xf numFmtId="0" fontId="18" fillId="2" borderId="24" xfId="0" applyFont="1" applyFill="1" applyBorder="1" applyAlignment="1">
      <alignment horizontal="center" vertical="center"/>
    </xf>
    <xf numFmtId="0" fontId="18" fillId="2" borderId="26" xfId="0" applyFont="1" applyFill="1" applyBorder="1" applyAlignment="1">
      <alignment horizontal="center" vertical="center" wrapText="1"/>
    </xf>
    <xf numFmtId="0" fontId="0" fillId="3" borderId="0" xfId="0" applyFill="1" applyBorder="1"/>
    <xf numFmtId="0" fontId="18" fillId="2" borderId="27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28" fillId="2" borderId="17" xfId="1" applyNumberFormat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0" fillId="3" borderId="22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1" fillId="3" borderId="14" xfId="0" applyFont="1" applyFill="1" applyBorder="1" applyAlignment="1" applyProtection="1">
      <alignment horizontal="center" vertical="center"/>
      <protection locked="0"/>
    </xf>
    <xf numFmtId="0" fontId="21" fillId="3" borderId="3" xfId="0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10416</xdr:rowOff>
    </xdr:from>
    <xdr:to>
      <xdr:col>17</xdr:col>
      <xdr:colOff>1781175</xdr:colOff>
      <xdr:row>7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2D917-1B9D-412D-BFE2-82BDA0463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88075" y="620016"/>
          <a:ext cx="1771650" cy="1132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AC0603JR-07100KL_C144628.html" TargetMode="External"/><Relationship Id="rId18" Type="http://schemas.openxmlformats.org/officeDocument/2006/relationships/hyperlink" Target="https://www.lcsc.com/product-detail/Chip-Resistor-Surface-Mount_YAGEO-RC0603FR-07120RL_C114640.html" TargetMode="External"/><Relationship Id="rId26" Type="http://schemas.openxmlformats.org/officeDocument/2006/relationships/hyperlink" Target="https://www.lcsc.com/product-detail/Chip-Resistor-Surface-Mount_YAGEO-RC0402FR-07100KL_C60491.html" TargetMode="External"/><Relationship Id="rId3" Type="http://schemas.openxmlformats.org/officeDocument/2006/relationships/hyperlink" Target="https://www.lcsc.com/product-detail/Multilayer-Ceramic-Capacitors-MLCC-SMD-SMT_Samsung-Electro-Mechanics-CL21A226MAYNNNE_C602037.html" TargetMode="External"/><Relationship Id="rId21" Type="http://schemas.openxmlformats.org/officeDocument/2006/relationships/hyperlink" Target="https://www.lcsc.com/product-detail/Chip-Resistor-Surface-Mount_YAGEO-RC0603JR-070RL_C95177.html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Pin-Headers_XFCN-PZ254V-11-02P_C492401.html" TargetMode="External"/><Relationship Id="rId12" Type="http://schemas.openxmlformats.org/officeDocument/2006/relationships/hyperlink" Target="https://www.lcsc.com/product-detail/Light-Emitting-Diodes-LED_Everlight-Elec-16-213-GHC-YR1S1-3T_C74338.html" TargetMode="External"/><Relationship Id="rId17" Type="http://schemas.openxmlformats.org/officeDocument/2006/relationships/hyperlink" Target="https://www.lcsc.com/product-detail/Chip-Resistor-Surface-Mount_Vishay-Intertech-CRCW08054K70FKEAHP_C313926.html" TargetMode="External"/><Relationship Id="rId25" Type="http://schemas.openxmlformats.org/officeDocument/2006/relationships/hyperlink" Target="https://www.lcsc.com/product-detail/Multilayer-Ceramic-Capacitors-MLCC-SMD-SMT_YAGEO-CC0402MRX5R6BB106_C962143.html" TargetMode="External"/><Relationship Id="rId33" Type="http://schemas.openxmlformats.org/officeDocument/2006/relationships/hyperlink" Target="https://www.lcsc.com/product-detail/Chip-Resistor-Surface-Mount_YAGEO-RC0402JR-071RL_C137904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Chip-Resistor-Surface-Mount_YAGEO-RC0402FR-071KL_C2935237.html" TargetMode="External"/><Relationship Id="rId20" Type="http://schemas.openxmlformats.org/officeDocument/2006/relationships/hyperlink" Target="https://www.lcsc.com/product-detail/CAN-ICs_Maxim-Integrated-MAX3051EKA-T_C112005.html" TargetMode="External"/><Relationship Id="rId29" Type="http://schemas.openxmlformats.org/officeDocument/2006/relationships/hyperlink" Target="https://www.lcsc.com/product-detail/Multilayer-Ceramic-Capacitors-MLCC-SMD-SMT_Taiyo-Yuden-EDK105BBJ475MVLF_C412302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OSFETs_Infineon-Technologies-BSC0702LS_C501503.html" TargetMode="External"/><Relationship Id="rId24" Type="http://schemas.openxmlformats.org/officeDocument/2006/relationships/hyperlink" Target="https://www.lcsc.com/product-detail/Tactile-Switches_XKB-Connectivity-TS-1185EC-C-D-B_C318893.html" TargetMode="External"/><Relationship Id="rId32" Type="http://schemas.openxmlformats.org/officeDocument/2006/relationships/hyperlink" Target="https://www.lcsc.com/product-detail/Chip-Resistor-Surface-Mount_YAGEO-RC0402FR-07100RL_C106232.html" TargetMode="External"/><Relationship Id="rId5" Type="http://schemas.openxmlformats.org/officeDocument/2006/relationships/hyperlink" Target="https://www.lcsc.com/product-detail/Switching-Diode_Diodes-Incorporated-1N4148WS-7-F_C60580.html" TargetMode="External"/><Relationship Id="rId15" Type="http://schemas.openxmlformats.org/officeDocument/2006/relationships/hyperlink" Target="https://www.lcsc.com/product-detail/Chip-Resistor-Surface-Mount_YAGEO-RC0603FR-07200KL_C105574.html" TargetMode="External"/><Relationship Id="rId23" Type="http://schemas.openxmlformats.org/officeDocument/2006/relationships/hyperlink" Target="https://www.lcsc.com/product-detail/Chip-Resistor-Surface-Mount_YAGEO-PA2512FKF7T0R002E_C728320.html" TargetMode="External"/><Relationship Id="rId28" Type="http://schemas.openxmlformats.org/officeDocument/2006/relationships/hyperlink" Target="https://www.lcsc.com/product-detail/Multilayer-Ceramic-Capacitors-MLCC-SMD-SMT_Murata-Electronics-GRM155R61E225KE11D_C385032.html" TargetMode="External"/><Relationship Id="rId10" Type="http://schemas.openxmlformats.org/officeDocument/2006/relationships/hyperlink" Target="https://www.lcsc.com/product-detail/Power-Inductors_TDK-SLF7045T-220MR90-PF_C13754.html" TargetMode="External"/><Relationship Id="rId19" Type="http://schemas.openxmlformats.org/officeDocument/2006/relationships/hyperlink" Target="https://www.lcsc.com/product-detail/Linear-Voltage-Regulators-LDO_Diodes-Incorporated-AZ1117CH-3-3TRG1_C92102.html" TargetMode="External"/><Relationship Id="rId31" Type="http://schemas.openxmlformats.org/officeDocument/2006/relationships/hyperlink" Target="https://www.lcsc.com/product-detail/Multilayer-Ceramic-Capacitors-MLCC-SMD-SMT_YAGEO-CC0402KRX7R9BB332_C107028.html" TargetMode="External"/><Relationship Id="rId4" Type="http://schemas.openxmlformats.org/officeDocument/2006/relationships/hyperlink" Target="https://www.lcsc.com/product-detail/Multilayer-Ceramic-Capacitors-MLCC-SMD-SMT_Taiyo-Yuden-UMK107AB7105KA-T_C105174.html" TargetMode="External"/><Relationship Id="rId9" Type="http://schemas.openxmlformats.org/officeDocument/2006/relationships/hyperlink" Target="https://www.lcsc.com/product-detail/Pin-Headers_Ckmtw-Shenzhen-Cankemeng-B-2100S03P-A110_C124376.html" TargetMode="External"/><Relationship Id="rId14" Type="http://schemas.openxmlformats.org/officeDocument/2006/relationships/hyperlink" Target="https://www.lcsc.com/product-detail/Chip-Resistor-Surface-Mount_Viking-Tech-AR03BTCX4301_C2828647.html" TargetMode="External"/><Relationship Id="rId22" Type="http://schemas.openxmlformats.org/officeDocument/2006/relationships/hyperlink" Target="https://www.lcsc.com/product-detail/Pin-Headers_XFCN-PZ254V-11-06P_C492405.html" TargetMode="External"/><Relationship Id="rId27" Type="http://schemas.openxmlformats.org/officeDocument/2006/relationships/hyperlink" Target="https://www.lcsc.com/product-detail/Multilayer-Ceramic-Capacitors-MLCC-SMD-SMT_Murata-Electronics-GRM155R62A104KE14D_C162178.html" TargetMode="External"/><Relationship Id="rId30" Type="http://schemas.openxmlformats.org/officeDocument/2006/relationships/hyperlink" Target="https://www.lcsc.com/product-detail/Multilayer-Ceramic-Capacitors-MLCC-SMD-SMT_Murata-Electronics-GRM21BR61H475KE51L_C162420.html" TargetMode="External"/><Relationship Id="rId35" Type="http://schemas.openxmlformats.org/officeDocument/2006/relationships/drawing" Target="../drawings/drawing1.xml"/><Relationship Id="rId8" Type="http://schemas.openxmlformats.org/officeDocument/2006/relationships/hyperlink" Target="https://www.lcsc.com/product-detail/Pin-Headers_Ckmtw-Shenzhen-Cankemeng-B-2100S04P-A110_C124378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AC0603JR-07100KL_C144628.html" TargetMode="External"/><Relationship Id="rId18" Type="http://schemas.openxmlformats.org/officeDocument/2006/relationships/hyperlink" Target="https://www.lcsc.com/product-detail/Chip-Resistor-Surface-Mount_YAGEO-RC0603FR-07120RL_C114640.html" TargetMode="External"/><Relationship Id="rId26" Type="http://schemas.openxmlformats.org/officeDocument/2006/relationships/hyperlink" Target="https://www.lcsc.com/product-detail/Chip-Resistor-Surface-Mount_YAGEO-RC0402FR-07100KL_C60491.html" TargetMode="External"/><Relationship Id="rId3" Type="http://schemas.openxmlformats.org/officeDocument/2006/relationships/hyperlink" Target="https://www.lcsc.com/product-detail/Multilayer-Ceramic-Capacitors-MLCC-SMD-SMT_Samsung-Electro-Mechanics-CL21A226MAYNNNE_C602037.html" TargetMode="External"/><Relationship Id="rId21" Type="http://schemas.openxmlformats.org/officeDocument/2006/relationships/hyperlink" Target="https://www.lcsc.com/product-detail/Chip-Resistor-Surface-Mount_YAGEO-RC0603JR-070RL_C95177.html" TargetMode="External"/><Relationship Id="rId34" Type="http://schemas.openxmlformats.org/officeDocument/2006/relationships/printerSettings" Target="../printerSettings/printerSettings2.bin"/><Relationship Id="rId7" Type="http://schemas.openxmlformats.org/officeDocument/2006/relationships/hyperlink" Target="https://www.lcsc.com/product-detail/Pin-Headers_XFCN-PZ254V-11-02P_C492401.html" TargetMode="External"/><Relationship Id="rId12" Type="http://schemas.openxmlformats.org/officeDocument/2006/relationships/hyperlink" Target="https://www.lcsc.com/product-detail/Light-Emitting-Diodes-LED_Everlight-Elec-16-213-GHC-YR1S1-3T_C74338.html" TargetMode="External"/><Relationship Id="rId17" Type="http://schemas.openxmlformats.org/officeDocument/2006/relationships/hyperlink" Target="https://www.lcsc.com/product-detail/Chip-Resistor-Surface-Mount_Vishay-Intertech-CRCW08054K70FKEAHP_C313926.html" TargetMode="External"/><Relationship Id="rId25" Type="http://schemas.openxmlformats.org/officeDocument/2006/relationships/hyperlink" Target="https://www.lcsc.com/product-detail/Multilayer-Ceramic-Capacitors-MLCC-SMD-SMT_YAGEO-CC0402MRX5R6BB106_C962143.html" TargetMode="External"/><Relationship Id="rId33" Type="http://schemas.openxmlformats.org/officeDocument/2006/relationships/hyperlink" Target="https://www.lcsc.com/product-detail/Chip-Resistor-Surface-Mount_YAGEO-RC0402JR-071RL_C137904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Chip-Resistor-Surface-Mount_YAGEO-RC0402FR-071KL_C2935237.html" TargetMode="External"/><Relationship Id="rId20" Type="http://schemas.openxmlformats.org/officeDocument/2006/relationships/hyperlink" Target="https://www.lcsc.com/product-detail/CAN-ICs_Maxim-Integrated-MAX3051EKA-T_C112005.html" TargetMode="External"/><Relationship Id="rId29" Type="http://schemas.openxmlformats.org/officeDocument/2006/relationships/hyperlink" Target="https://www.lcsc.com/product-detail/Multilayer-Ceramic-Capacitors-MLCC-SMD-SMT_Taiyo-Yuden-EDK105BBJ475MVLF_C412302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OSFETs_Infineon-Technologies-BSC0702LS_C501503.html" TargetMode="External"/><Relationship Id="rId24" Type="http://schemas.openxmlformats.org/officeDocument/2006/relationships/hyperlink" Target="https://www.lcsc.com/product-detail/Tactile-Switches_XKB-Connectivity-TS-1185EC-C-D-B_C318893.html" TargetMode="External"/><Relationship Id="rId32" Type="http://schemas.openxmlformats.org/officeDocument/2006/relationships/hyperlink" Target="https://www.lcsc.com/product-detail/Chip-Resistor-Surface-Mount_YAGEO-RC0402FR-07100RL_C106232.html" TargetMode="External"/><Relationship Id="rId5" Type="http://schemas.openxmlformats.org/officeDocument/2006/relationships/hyperlink" Target="https://www.lcsc.com/product-detail/Switching-Diode_Diodes-Incorporated-1N4148WS-7-F_C60580.html" TargetMode="External"/><Relationship Id="rId15" Type="http://schemas.openxmlformats.org/officeDocument/2006/relationships/hyperlink" Target="https://www.lcsc.com/product-detail/Chip-Resistor-Surface-Mount_YAGEO-RC0603FR-07200KL_C105574.html" TargetMode="External"/><Relationship Id="rId23" Type="http://schemas.openxmlformats.org/officeDocument/2006/relationships/hyperlink" Target="https://www.lcsc.com/product-detail/Chip-Resistor-Surface-Mount_YAGEO-PA2512FKF7T0R002E_C728320.html" TargetMode="External"/><Relationship Id="rId28" Type="http://schemas.openxmlformats.org/officeDocument/2006/relationships/hyperlink" Target="https://www.lcsc.com/product-detail/Multilayer-Ceramic-Capacitors-MLCC-SMD-SMT_Murata-Electronics-GRM155R61E225KE11D_C385032.html" TargetMode="External"/><Relationship Id="rId10" Type="http://schemas.openxmlformats.org/officeDocument/2006/relationships/hyperlink" Target="https://www.lcsc.com/product-detail/Power-Inductors_TDK-SLF7045T-220MR90-PF_C13754.html" TargetMode="External"/><Relationship Id="rId19" Type="http://schemas.openxmlformats.org/officeDocument/2006/relationships/hyperlink" Target="https://www.lcsc.com/product-detail/Linear-Voltage-Regulators-LDO_Diodes-Incorporated-AZ1117CH-3-3TRG1_C92102.html" TargetMode="External"/><Relationship Id="rId31" Type="http://schemas.openxmlformats.org/officeDocument/2006/relationships/hyperlink" Target="https://www.lcsc.com/product-detail/Multilayer-Ceramic-Capacitors-MLCC-SMD-SMT_YAGEO-CC0402KRX7R9BB332_C107028.html" TargetMode="External"/><Relationship Id="rId4" Type="http://schemas.openxmlformats.org/officeDocument/2006/relationships/hyperlink" Target="https://www.lcsc.com/product-detail/Multilayer-Ceramic-Capacitors-MLCC-SMD-SMT_Taiyo-Yuden-UMK107AB7105KA-T_C105174.html" TargetMode="External"/><Relationship Id="rId9" Type="http://schemas.openxmlformats.org/officeDocument/2006/relationships/hyperlink" Target="https://www.lcsc.com/product-detail/Pin-Headers_Ckmtw-Shenzhen-Cankemeng-B-2100S03P-A110_C124376.html" TargetMode="External"/><Relationship Id="rId14" Type="http://schemas.openxmlformats.org/officeDocument/2006/relationships/hyperlink" Target="https://www.lcsc.com/product-detail/Chip-Resistor-Surface-Mount_Viking-Tech-AR03BTCX4301_C2828647.html" TargetMode="External"/><Relationship Id="rId22" Type="http://schemas.openxmlformats.org/officeDocument/2006/relationships/hyperlink" Target="https://www.lcsc.com/product-detail/Pin-Headers_XFCN-PZ254V-11-06P_C492405.html" TargetMode="External"/><Relationship Id="rId27" Type="http://schemas.openxmlformats.org/officeDocument/2006/relationships/hyperlink" Target="https://www.lcsc.com/product-detail/Multilayer-Ceramic-Capacitors-MLCC-SMD-SMT_Murata-Electronics-GRM155R62A104KE14D_C162178.html" TargetMode="External"/><Relationship Id="rId30" Type="http://schemas.openxmlformats.org/officeDocument/2006/relationships/hyperlink" Target="https://www.lcsc.com/product-detail/Multilayer-Ceramic-Capacitors-MLCC-SMD-SMT_Murata-Electronics-GRM21BR61H475KE51L_C162420.html" TargetMode="External"/><Relationship Id="rId35" Type="http://schemas.openxmlformats.org/officeDocument/2006/relationships/drawing" Target="../drawings/drawing2.xml"/><Relationship Id="rId8" Type="http://schemas.openxmlformats.org/officeDocument/2006/relationships/hyperlink" Target="https://www.lcsc.com/product-detail/Pin-Headers_Ckmtw-Shenzhen-Cankemeng-B-2100S04P-A110_C1243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7"/>
  <sheetViews>
    <sheetView topLeftCell="A31" zoomScaleNormal="100" workbookViewId="0">
      <selection activeCell="E56" sqref="E56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31.42578125" bestFit="1" customWidth="1"/>
    <col min="5" max="5" width="43.85546875" bestFit="1" customWidth="1"/>
    <col min="6" max="6" width="21.85546875" customWidth="1"/>
    <col min="7" max="7" width="25.42578125" bestFit="1" customWidth="1"/>
    <col min="8" max="8" width="23.85546875" customWidth="1"/>
    <col min="9" max="9" width="21.5703125" bestFit="1" customWidth="1"/>
    <col min="10" max="10" width="17.140625" bestFit="1" customWidth="1"/>
    <col min="11" max="11" width="6.28515625" bestFit="1" customWidth="1"/>
    <col min="12" max="12" width="8.85546875" bestFit="1" customWidth="1"/>
    <col min="13" max="13" width="18.85546875" bestFit="1" customWidth="1"/>
    <col min="14" max="14" width="16" bestFit="1" customWidth="1"/>
    <col min="15" max="15" width="9.7109375" customWidth="1"/>
    <col min="16" max="16" width="18.7109375" bestFit="1" customWidth="1"/>
    <col min="17" max="17" width="20" bestFit="1" customWidth="1"/>
    <col min="18" max="18" width="26.85546875" bestFit="1" customWidth="1"/>
  </cols>
  <sheetData>
    <row r="1" spans="1:18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7"/>
    </row>
    <row r="2" spans="1:18" ht="32.25" thickBot="1" x14ac:dyDescent="0.3">
      <c r="A2" s="1"/>
      <c r="B2" s="15"/>
      <c r="C2" s="27"/>
      <c r="D2" s="9" t="s">
        <v>0</v>
      </c>
      <c r="E2" s="55"/>
      <c r="F2" s="44" t="s">
        <v>202</v>
      </c>
      <c r="G2" s="34"/>
      <c r="H2" s="34"/>
      <c r="I2" s="34"/>
      <c r="J2" s="4"/>
      <c r="K2" s="4"/>
      <c r="L2" s="4"/>
      <c r="M2" s="4"/>
      <c r="N2" s="4"/>
      <c r="O2" s="4"/>
      <c r="P2" s="4"/>
      <c r="Q2" s="4"/>
      <c r="R2" s="3"/>
    </row>
    <row r="3" spans="1:18" ht="15" customHeight="1" x14ac:dyDescent="0.25">
      <c r="A3" s="1"/>
      <c r="B3" s="16"/>
      <c r="C3" s="56"/>
      <c r="D3" s="57" t="s">
        <v>1</v>
      </c>
      <c r="E3" s="57"/>
      <c r="F3" s="58" t="s">
        <v>211</v>
      </c>
      <c r="G3" s="57"/>
      <c r="H3" s="59"/>
      <c r="I3" s="57"/>
      <c r="J3" s="59"/>
      <c r="K3" s="5"/>
      <c r="L3" s="59"/>
      <c r="M3" s="59"/>
      <c r="N3" s="59"/>
      <c r="O3" s="59"/>
      <c r="P3" s="59"/>
      <c r="Q3" s="59"/>
      <c r="R3" s="110"/>
    </row>
    <row r="4" spans="1:18" ht="15" customHeight="1" x14ac:dyDescent="0.25">
      <c r="A4" s="1"/>
      <c r="B4" s="16"/>
      <c r="C4" s="56"/>
      <c r="D4" s="57" t="s">
        <v>2</v>
      </c>
      <c r="E4" s="57"/>
      <c r="F4" s="35" t="s">
        <v>211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111"/>
    </row>
    <row r="5" spans="1:18" ht="15" customHeight="1" x14ac:dyDescent="0.25">
      <c r="A5" s="1"/>
      <c r="B5" s="16"/>
      <c r="C5" s="56"/>
      <c r="D5" s="57" t="s">
        <v>3</v>
      </c>
      <c r="E5" s="57"/>
      <c r="F5" s="36" t="s">
        <v>5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111"/>
    </row>
    <row r="6" spans="1:18" x14ac:dyDescent="0.25">
      <c r="A6" s="1"/>
      <c r="B6" s="16"/>
      <c r="C6" s="56"/>
      <c r="D6" s="57"/>
      <c r="E6" s="57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111"/>
    </row>
    <row r="7" spans="1:18" x14ac:dyDescent="0.25">
      <c r="A7" s="1"/>
      <c r="B7" s="17"/>
      <c r="C7" s="60"/>
      <c r="D7" s="61"/>
      <c r="E7" s="61"/>
      <c r="F7" s="13"/>
      <c r="G7" s="61"/>
      <c r="H7" s="62"/>
      <c r="I7" s="61"/>
      <c r="J7" s="62"/>
      <c r="K7" s="62"/>
      <c r="L7" s="62"/>
      <c r="M7" s="62"/>
      <c r="N7" s="62"/>
      <c r="O7" s="62"/>
      <c r="P7" s="62"/>
      <c r="Q7" s="62"/>
      <c r="R7" s="111"/>
    </row>
    <row r="8" spans="1:18" ht="15.75" thickBot="1" x14ac:dyDescent="0.3">
      <c r="A8" s="1"/>
      <c r="B8" s="45"/>
      <c r="C8" s="46"/>
      <c r="D8" s="47"/>
      <c r="E8" s="47"/>
      <c r="F8" s="48"/>
      <c r="G8" s="49"/>
      <c r="H8" s="50"/>
      <c r="I8" s="49"/>
      <c r="J8" s="50"/>
      <c r="K8" s="50"/>
      <c r="L8" s="50"/>
      <c r="M8" s="50"/>
      <c r="N8" s="50"/>
      <c r="O8" s="50"/>
      <c r="P8" s="50"/>
      <c r="Q8" s="50"/>
      <c r="R8" s="112"/>
    </row>
    <row r="9" spans="1:18" ht="15.75" thickBot="1" x14ac:dyDescent="0.3">
      <c r="A9" s="1"/>
      <c r="B9" s="20" t="s">
        <v>4</v>
      </c>
      <c r="C9" s="20" t="s">
        <v>6</v>
      </c>
      <c r="D9" s="37" t="s">
        <v>11</v>
      </c>
      <c r="E9" s="38" t="s">
        <v>39</v>
      </c>
      <c r="F9" s="20" t="s">
        <v>62</v>
      </c>
      <c r="G9" s="21" t="s">
        <v>79</v>
      </c>
      <c r="H9" s="20" t="s">
        <v>95</v>
      </c>
      <c r="I9" s="20" t="s">
        <v>148</v>
      </c>
      <c r="J9" s="21" t="s">
        <v>111</v>
      </c>
      <c r="K9" s="20" t="s">
        <v>149</v>
      </c>
      <c r="L9" s="20" t="s">
        <v>140</v>
      </c>
      <c r="M9" s="37" t="s">
        <v>151</v>
      </c>
      <c r="N9" s="21" t="s">
        <v>153</v>
      </c>
      <c r="O9" s="20" t="s">
        <v>154</v>
      </c>
      <c r="P9" s="20" t="s">
        <v>158</v>
      </c>
      <c r="Q9" s="20" t="s">
        <v>159</v>
      </c>
      <c r="R9" s="37" t="s">
        <v>157</v>
      </c>
    </row>
    <row r="10" spans="1:18" ht="15.75" thickBot="1" x14ac:dyDescent="0.3">
      <c r="A10" s="1"/>
      <c r="B10" s="26">
        <f>ROW(B10) - ROW($B$9)</f>
        <v>1</v>
      </c>
      <c r="C10" s="65" t="s">
        <v>141</v>
      </c>
      <c r="D10" s="54" t="s">
        <v>12</v>
      </c>
      <c r="E10" s="40" t="s">
        <v>160</v>
      </c>
      <c r="F10" s="86" t="s">
        <v>161</v>
      </c>
      <c r="G10" s="31" t="s">
        <v>162</v>
      </c>
      <c r="H10" s="30" t="s">
        <v>163</v>
      </c>
      <c r="I10" s="31" t="s">
        <v>167</v>
      </c>
      <c r="J10" s="30" t="s">
        <v>164</v>
      </c>
      <c r="K10" s="31" t="s">
        <v>122</v>
      </c>
      <c r="L10" s="86">
        <v>2</v>
      </c>
      <c r="M10" s="32">
        <f>L10*5</f>
        <v>10</v>
      </c>
      <c r="N10" s="31">
        <v>15</v>
      </c>
      <c r="O10" s="76" t="s">
        <v>165</v>
      </c>
      <c r="P10" s="33">
        <v>0.29630000000000001</v>
      </c>
      <c r="Q10" s="33">
        <f t="shared" ref="Q10:Q24" si="0">P10*N10</f>
        <v>4.4444999999999997</v>
      </c>
      <c r="R10" s="32"/>
    </row>
    <row r="11" spans="1:18" ht="15.75" thickBot="1" x14ac:dyDescent="0.3">
      <c r="A11" s="1"/>
      <c r="B11" s="26">
        <f t="shared" ref="B11:B45" si="1">ROW(B11) - ROW($B$9)</f>
        <v>2</v>
      </c>
      <c r="C11" s="78" t="s">
        <v>141</v>
      </c>
      <c r="D11" s="79" t="s">
        <v>210</v>
      </c>
      <c r="E11" s="39" t="s">
        <v>223</v>
      </c>
      <c r="F11" s="39" t="s">
        <v>65</v>
      </c>
      <c r="G11" s="39" t="s">
        <v>224</v>
      </c>
      <c r="H11" s="39" t="s">
        <v>225</v>
      </c>
      <c r="I11" s="39" t="s">
        <v>167</v>
      </c>
      <c r="J11" s="39" t="s">
        <v>226</v>
      </c>
      <c r="K11" s="39" t="s">
        <v>123</v>
      </c>
      <c r="L11" s="39">
        <v>3</v>
      </c>
      <c r="M11" s="83">
        <f>L11*5</f>
        <v>15</v>
      </c>
      <c r="N11" s="81">
        <v>50</v>
      </c>
      <c r="O11" s="84" t="s">
        <v>165</v>
      </c>
      <c r="P11" s="82">
        <v>1.1299999999999999E-2</v>
      </c>
      <c r="Q11" s="82">
        <f t="shared" si="0"/>
        <v>0.56499999999999995</v>
      </c>
      <c r="R11" s="83"/>
    </row>
    <row r="12" spans="1:18" ht="15.75" thickBot="1" x14ac:dyDescent="0.3">
      <c r="A12" s="1"/>
      <c r="B12" s="26">
        <f t="shared" si="1"/>
        <v>3</v>
      </c>
      <c r="C12" s="65" t="s">
        <v>141</v>
      </c>
      <c r="D12" s="54" t="s">
        <v>212</v>
      </c>
      <c r="E12" s="30" t="s">
        <v>227</v>
      </c>
      <c r="F12" s="30" t="s">
        <v>65</v>
      </c>
      <c r="G12" s="30" t="s">
        <v>228</v>
      </c>
      <c r="H12" s="30" t="s">
        <v>225</v>
      </c>
      <c r="I12" s="30" t="s">
        <v>167</v>
      </c>
      <c r="J12" s="30" t="s">
        <v>229</v>
      </c>
      <c r="K12" s="30" t="s">
        <v>124</v>
      </c>
      <c r="L12" s="30">
        <v>4</v>
      </c>
      <c r="M12" s="32">
        <f>L12*5</f>
        <v>20</v>
      </c>
      <c r="N12" s="31">
        <v>40</v>
      </c>
      <c r="O12" s="76" t="s">
        <v>165</v>
      </c>
      <c r="P12" s="33">
        <v>3.7900000000000003E-2</v>
      </c>
      <c r="Q12" s="33">
        <f t="shared" si="0"/>
        <v>1.516</v>
      </c>
      <c r="R12" s="32"/>
    </row>
    <row r="13" spans="1:18" ht="15.75" thickBot="1" x14ac:dyDescent="0.3">
      <c r="A13" s="1"/>
      <c r="B13" s="26">
        <f t="shared" si="1"/>
        <v>4</v>
      </c>
      <c r="C13" s="78" t="s">
        <v>141</v>
      </c>
      <c r="D13" s="79" t="s">
        <v>13</v>
      </c>
      <c r="E13" s="39" t="s">
        <v>230</v>
      </c>
      <c r="F13" s="39" t="s">
        <v>65</v>
      </c>
      <c r="G13" s="39" t="s">
        <v>231</v>
      </c>
      <c r="H13" s="39" t="s">
        <v>98</v>
      </c>
      <c r="I13" s="39" t="s">
        <v>167</v>
      </c>
      <c r="J13" s="39" t="s">
        <v>232</v>
      </c>
      <c r="K13" s="39" t="s">
        <v>125</v>
      </c>
      <c r="L13" s="39">
        <v>1</v>
      </c>
      <c r="M13" s="83">
        <f t="shared" ref="M13" si="2">L13*5</f>
        <v>5</v>
      </c>
      <c r="N13" s="81">
        <v>50</v>
      </c>
      <c r="O13" s="84" t="s">
        <v>165</v>
      </c>
      <c r="P13" s="82">
        <v>1.38E-2</v>
      </c>
      <c r="Q13" s="82">
        <f t="shared" si="0"/>
        <v>0.69</v>
      </c>
      <c r="R13" s="83"/>
    </row>
    <row r="14" spans="1:18" ht="15.75" thickBot="1" x14ac:dyDescent="0.3">
      <c r="A14" s="1"/>
      <c r="B14" s="26">
        <f t="shared" si="1"/>
        <v>5</v>
      </c>
      <c r="C14" s="65" t="s">
        <v>141</v>
      </c>
      <c r="D14" s="54" t="s">
        <v>14</v>
      </c>
      <c r="E14" s="40" t="s">
        <v>40</v>
      </c>
      <c r="F14" s="30" t="s">
        <v>64</v>
      </c>
      <c r="G14" s="31" t="s">
        <v>80</v>
      </c>
      <c r="H14" s="30" t="s">
        <v>97</v>
      </c>
      <c r="I14" s="31" t="s">
        <v>167</v>
      </c>
      <c r="J14" s="30" t="s">
        <v>112</v>
      </c>
      <c r="K14" s="31" t="s">
        <v>126</v>
      </c>
      <c r="L14" s="39">
        <v>1</v>
      </c>
      <c r="M14" s="32">
        <f>L14*5</f>
        <v>5</v>
      </c>
      <c r="N14" s="31">
        <v>20</v>
      </c>
      <c r="O14" s="76" t="s">
        <v>165</v>
      </c>
      <c r="P14" s="33">
        <v>2.3900000000000001E-2</v>
      </c>
      <c r="Q14" s="33">
        <f t="shared" si="0"/>
        <v>0.47800000000000004</v>
      </c>
      <c r="R14" s="32"/>
    </row>
    <row r="15" spans="1:18" ht="15.75" thickBot="1" x14ac:dyDescent="0.3">
      <c r="A15" s="1"/>
      <c r="B15" s="26">
        <f t="shared" si="1"/>
        <v>6</v>
      </c>
      <c r="C15" s="78" t="s">
        <v>141</v>
      </c>
      <c r="D15" s="79" t="s">
        <v>179</v>
      </c>
      <c r="E15" s="80" t="s">
        <v>41</v>
      </c>
      <c r="F15" s="39" t="s">
        <v>63</v>
      </c>
      <c r="G15" s="81" t="s">
        <v>81</v>
      </c>
      <c r="H15" s="39" t="s">
        <v>98</v>
      </c>
      <c r="I15" s="81" t="s">
        <v>167</v>
      </c>
      <c r="J15" s="39" t="s">
        <v>113</v>
      </c>
      <c r="K15" s="81" t="s">
        <v>127</v>
      </c>
      <c r="L15" s="39">
        <v>2</v>
      </c>
      <c r="M15" s="83">
        <f t="shared" ref="M15" si="3">L15*5</f>
        <v>10</v>
      </c>
      <c r="N15" s="81">
        <v>20</v>
      </c>
      <c r="O15" s="84" t="s">
        <v>165</v>
      </c>
      <c r="P15" s="82">
        <v>2.8000000000000001E-2</v>
      </c>
      <c r="Q15" s="82">
        <f t="shared" si="0"/>
        <v>0.56000000000000005</v>
      </c>
      <c r="R15" s="83"/>
    </row>
    <row r="16" spans="1:18" ht="15.75" thickBot="1" x14ac:dyDescent="0.3">
      <c r="A16" s="1"/>
      <c r="B16" s="26">
        <f t="shared" si="1"/>
        <v>7</v>
      </c>
      <c r="C16" s="65" t="s">
        <v>141</v>
      </c>
      <c r="D16" s="54" t="s">
        <v>15</v>
      </c>
      <c r="E16" s="30" t="s">
        <v>233</v>
      </c>
      <c r="F16" s="30" t="s">
        <v>64</v>
      </c>
      <c r="G16" s="30" t="s">
        <v>234</v>
      </c>
      <c r="H16" s="30" t="s">
        <v>225</v>
      </c>
      <c r="I16" s="30" t="s">
        <v>167</v>
      </c>
      <c r="J16" s="30" t="s">
        <v>235</v>
      </c>
      <c r="K16" s="30" t="s">
        <v>125</v>
      </c>
      <c r="L16" s="30">
        <v>3</v>
      </c>
      <c r="M16" s="32">
        <f>L16*5</f>
        <v>15</v>
      </c>
      <c r="N16" s="31">
        <v>20</v>
      </c>
      <c r="O16" s="76" t="s">
        <v>165</v>
      </c>
      <c r="P16" s="33">
        <v>5.1799999999999999E-2</v>
      </c>
      <c r="Q16" s="33">
        <f t="shared" si="0"/>
        <v>1.036</v>
      </c>
      <c r="R16" s="32"/>
    </row>
    <row r="17" spans="1:18" ht="15.75" thickBot="1" x14ac:dyDescent="0.3">
      <c r="A17" s="1"/>
      <c r="B17" s="26">
        <f t="shared" si="1"/>
        <v>8</v>
      </c>
      <c r="C17" s="78" t="s">
        <v>141</v>
      </c>
      <c r="D17" s="79" t="s">
        <v>16</v>
      </c>
      <c r="E17" s="39" t="s">
        <v>236</v>
      </c>
      <c r="F17" s="39" t="s">
        <v>65</v>
      </c>
      <c r="G17" s="39" t="s">
        <v>237</v>
      </c>
      <c r="H17" s="39" t="s">
        <v>96</v>
      </c>
      <c r="I17" s="39" t="s">
        <v>167</v>
      </c>
      <c r="J17" s="39" t="s">
        <v>238</v>
      </c>
      <c r="K17" s="39" t="s">
        <v>128</v>
      </c>
      <c r="L17" s="39">
        <v>3</v>
      </c>
      <c r="M17" s="83">
        <f t="shared" ref="M17" si="4">L17*5</f>
        <v>15</v>
      </c>
      <c r="N17" s="81">
        <v>100</v>
      </c>
      <c r="O17" s="84" t="s">
        <v>165</v>
      </c>
      <c r="P17" s="82">
        <v>1.1000000000000001E-3</v>
      </c>
      <c r="Q17" s="82">
        <f t="shared" si="0"/>
        <v>0.11</v>
      </c>
      <c r="R17" s="83"/>
    </row>
    <row r="18" spans="1:18" ht="15.75" thickBot="1" x14ac:dyDescent="0.3">
      <c r="A18" s="1"/>
      <c r="B18" s="26">
        <f t="shared" si="1"/>
        <v>9</v>
      </c>
      <c r="C18" s="65" t="s">
        <v>141</v>
      </c>
      <c r="D18" s="54" t="s">
        <v>17</v>
      </c>
      <c r="E18" s="40" t="s">
        <v>42</v>
      </c>
      <c r="F18" s="30" t="s">
        <v>65</v>
      </c>
      <c r="G18" s="63">
        <v>885012205080</v>
      </c>
      <c r="H18" s="30" t="s">
        <v>100</v>
      </c>
      <c r="I18" s="31" t="s">
        <v>168</v>
      </c>
      <c r="J18" s="30" t="s">
        <v>169</v>
      </c>
      <c r="K18" s="31" t="s">
        <v>129</v>
      </c>
      <c r="L18" s="39">
        <v>3</v>
      </c>
      <c r="M18" s="32">
        <f>L18*5</f>
        <v>15</v>
      </c>
      <c r="N18" s="31">
        <v>100</v>
      </c>
      <c r="O18" s="76" t="s">
        <v>165</v>
      </c>
      <c r="P18" s="33">
        <v>4.4000000000000003E-3</v>
      </c>
      <c r="Q18" s="33">
        <f t="shared" si="0"/>
        <v>0.44</v>
      </c>
      <c r="R18" s="32"/>
    </row>
    <row r="19" spans="1:18" ht="15.75" thickBot="1" x14ac:dyDescent="0.3">
      <c r="A19" s="1"/>
      <c r="B19" s="26">
        <f t="shared" si="1"/>
        <v>10</v>
      </c>
      <c r="C19" s="65" t="s">
        <v>141</v>
      </c>
      <c r="D19" s="39" t="s">
        <v>213</v>
      </c>
      <c r="E19" s="39" t="s">
        <v>214</v>
      </c>
      <c r="F19" s="39" t="s">
        <v>65</v>
      </c>
      <c r="G19" s="39" t="s">
        <v>215</v>
      </c>
      <c r="H19" s="39" t="s">
        <v>96</v>
      </c>
      <c r="I19" s="39" t="s">
        <v>167</v>
      </c>
      <c r="J19" s="39" t="s">
        <v>216</v>
      </c>
      <c r="K19" s="39" t="s">
        <v>217</v>
      </c>
      <c r="L19" s="39">
        <v>2</v>
      </c>
      <c r="M19" s="32">
        <f>L19*5</f>
        <v>10</v>
      </c>
      <c r="N19" s="31">
        <v>20</v>
      </c>
      <c r="O19" s="95" t="s">
        <v>165</v>
      </c>
      <c r="P19" s="82">
        <v>2.9700000000000001E-2</v>
      </c>
      <c r="Q19" s="33">
        <f t="shared" si="0"/>
        <v>0.59399999999999997</v>
      </c>
      <c r="R19" s="32"/>
    </row>
    <row r="20" spans="1:18" ht="15.75" thickBot="1" x14ac:dyDescent="0.3">
      <c r="A20" s="1"/>
      <c r="B20" s="26">
        <f t="shared" si="1"/>
        <v>11</v>
      </c>
      <c r="C20" s="65" t="s">
        <v>142</v>
      </c>
      <c r="D20" s="54" t="s">
        <v>180</v>
      </c>
      <c r="E20" s="40" t="s">
        <v>43</v>
      </c>
      <c r="F20" s="30" t="s">
        <v>66</v>
      </c>
      <c r="G20" s="31" t="s">
        <v>82</v>
      </c>
      <c r="H20" s="30" t="s">
        <v>101</v>
      </c>
      <c r="I20" s="31" t="s">
        <v>167</v>
      </c>
      <c r="J20" s="30" t="s">
        <v>114</v>
      </c>
      <c r="K20" s="31" t="s">
        <v>167</v>
      </c>
      <c r="L20" s="39">
        <v>3</v>
      </c>
      <c r="M20" s="32">
        <f t="shared" ref="M20" si="5">L20*5</f>
        <v>15</v>
      </c>
      <c r="N20" s="31">
        <v>20</v>
      </c>
      <c r="O20" s="76" t="s">
        <v>165</v>
      </c>
      <c r="P20" s="33">
        <v>2.0400000000000001E-2</v>
      </c>
      <c r="Q20" s="33">
        <f t="shared" si="0"/>
        <v>0.40800000000000003</v>
      </c>
      <c r="R20" s="32"/>
    </row>
    <row r="21" spans="1:18" ht="15.75" thickBot="1" x14ac:dyDescent="0.3">
      <c r="A21" s="1"/>
      <c r="B21" s="26">
        <f t="shared" si="1"/>
        <v>12</v>
      </c>
      <c r="C21" s="78" t="s">
        <v>143</v>
      </c>
      <c r="D21" s="79" t="s">
        <v>18</v>
      </c>
      <c r="E21" s="80" t="s">
        <v>44</v>
      </c>
      <c r="F21" s="93" t="s">
        <v>246</v>
      </c>
      <c r="G21" s="81" t="s">
        <v>194</v>
      </c>
      <c r="H21" s="39" t="s">
        <v>196</v>
      </c>
      <c r="I21" s="81" t="s">
        <v>167</v>
      </c>
      <c r="J21" s="39" t="s">
        <v>197</v>
      </c>
      <c r="K21" s="81" t="s">
        <v>167</v>
      </c>
      <c r="L21" s="39">
        <v>1</v>
      </c>
      <c r="M21" s="83">
        <f>L21*5</f>
        <v>5</v>
      </c>
      <c r="N21" s="81">
        <v>10</v>
      </c>
      <c r="O21" s="84" t="s">
        <v>165</v>
      </c>
      <c r="P21" s="82">
        <v>4.0500000000000001E-2</v>
      </c>
      <c r="Q21" s="82">
        <f t="shared" si="0"/>
        <v>0.40500000000000003</v>
      </c>
      <c r="R21" s="83"/>
    </row>
    <row r="22" spans="1:18" ht="15.75" thickBot="1" x14ac:dyDescent="0.3">
      <c r="A22" s="1"/>
      <c r="B22" s="26">
        <f t="shared" si="1"/>
        <v>13</v>
      </c>
      <c r="C22" s="65" t="s">
        <v>143</v>
      </c>
      <c r="D22" s="54" t="s">
        <v>19</v>
      </c>
      <c r="E22" s="40" t="s">
        <v>45</v>
      </c>
      <c r="F22" s="109" t="s">
        <v>247</v>
      </c>
      <c r="G22" s="31" t="s">
        <v>195</v>
      </c>
      <c r="H22" s="30" t="s">
        <v>196</v>
      </c>
      <c r="I22" s="31" t="s">
        <v>167</v>
      </c>
      <c r="J22" s="30" t="s">
        <v>198</v>
      </c>
      <c r="K22" s="31" t="s">
        <v>167</v>
      </c>
      <c r="L22" s="39">
        <v>1</v>
      </c>
      <c r="M22" s="32">
        <f t="shared" ref="M22" si="6">L22*5</f>
        <v>5</v>
      </c>
      <c r="N22" s="31">
        <v>20</v>
      </c>
      <c r="O22" s="76" t="s">
        <v>165</v>
      </c>
      <c r="P22" s="33">
        <v>2.3E-2</v>
      </c>
      <c r="Q22" s="33">
        <f t="shared" si="0"/>
        <v>0.45999999999999996</v>
      </c>
      <c r="R22" s="32"/>
    </row>
    <row r="23" spans="1:18" ht="24.75" thickBot="1" x14ac:dyDescent="0.3">
      <c r="A23" s="1"/>
      <c r="B23" s="26">
        <f t="shared" si="1"/>
        <v>14</v>
      </c>
      <c r="C23" s="78" t="s">
        <v>7</v>
      </c>
      <c r="D23" s="79" t="s">
        <v>20</v>
      </c>
      <c r="E23" s="80" t="s">
        <v>46</v>
      </c>
      <c r="F23" s="39" t="s">
        <v>248</v>
      </c>
      <c r="G23" s="81" t="s">
        <v>67</v>
      </c>
      <c r="H23" s="39" t="s">
        <v>99</v>
      </c>
      <c r="I23" s="81" t="s">
        <v>167</v>
      </c>
      <c r="J23" s="39" t="s">
        <v>115</v>
      </c>
      <c r="K23" s="81" t="s">
        <v>130</v>
      </c>
      <c r="L23" s="39">
        <v>1</v>
      </c>
      <c r="M23" s="83">
        <f>L23*5</f>
        <v>5</v>
      </c>
      <c r="N23" s="81">
        <v>10</v>
      </c>
      <c r="O23" s="84" t="s">
        <v>165</v>
      </c>
      <c r="P23" s="82">
        <v>0.26979999999999998</v>
      </c>
      <c r="Q23" s="82">
        <f t="shared" si="0"/>
        <v>2.698</v>
      </c>
      <c r="R23" s="83"/>
    </row>
    <row r="24" spans="1:18" ht="24.75" thickBot="1" x14ac:dyDescent="0.3">
      <c r="A24" s="1"/>
      <c r="B24" s="26">
        <f t="shared" si="1"/>
        <v>15</v>
      </c>
      <c r="C24" s="65" t="s">
        <v>144</v>
      </c>
      <c r="D24" s="54" t="s">
        <v>21</v>
      </c>
      <c r="E24" s="40" t="s">
        <v>47</v>
      </c>
      <c r="F24" s="30" t="s">
        <v>68</v>
      </c>
      <c r="G24" s="31" t="s">
        <v>83</v>
      </c>
      <c r="H24" s="30" t="s">
        <v>102</v>
      </c>
      <c r="I24" s="31" t="s">
        <v>167</v>
      </c>
      <c r="J24" s="30" t="s">
        <v>116</v>
      </c>
      <c r="K24" s="31" t="s">
        <v>131</v>
      </c>
      <c r="L24" s="39">
        <v>2</v>
      </c>
      <c r="M24" s="32">
        <f t="shared" ref="M24:M25" si="7">L24*5</f>
        <v>10</v>
      </c>
      <c r="N24" s="31">
        <v>20</v>
      </c>
      <c r="O24" s="76" t="s">
        <v>165</v>
      </c>
      <c r="P24" s="33">
        <v>6.3899999999999998E-2</v>
      </c>
      <c r="Q24" s="33">
        <f t="shared" si="0"/>
        <v>1.278</v>
      </c>
      <c r="R24" s="32"/>
    </row>
    <row r="25" spans="1:18" ht="15.75" thickBot="1" x14ac:dyDescent="0.3">
      <c r="A25" s="1"/>
      <c r="B25" s="26">
        <f t="shared" si="1"/>
        <v>16</v>
      </c>
      <c r="C25" s="87" t="s">
        <v>145</v>
      </c>
      <c r="D25" s="88" t="s">
        <v>22</v>
      </c>
      <c r="E25" s="89" t="s">
        <v>166</v>
      </c>
      <c r="F25" s="90" t="s">
        <v>248</v>
      </c>
      <c r="G25" s="88" t="s">
        <v>167</v>
      </c>
      <c r="H25" s="90" t="s">
        <v>167</v>
      </c>
      <c r="I25" s="88"/>
      <c r="J25" s="90" t="s">
        <v>167</v>
      </c>
      <c r="K25" s="88"/>
      <c r="L25" s="90">
        <v>5</v>
      </c>
      <c r="M25" s="92">
        <f t="shared" si="7"/>
        <v>25</v>
      </c>
      <c r="N25" s="88" t="s">
        <v>167</v>
      </c>
      <c r="O25" s="108" t="s">
        <v>167</v>
      </c>
      <c r="P25" s="91" t="s">
        <v>167</v>
      </c>
      <c r="Q25" s="91" t="s">
        <v>167</v>
      </c>
      <c r="R25" s="92"/>
    </row>
    <row r="26" spans="1:18" ht="15.75" thickBot="1" x14ac:dyDescent="0.3">
      <c r="A26" s="1"/>
      <c r="B26" s="26">
        <f t="shared" si="1"/>
        <v>17</v>
      </c>
      <c r="C26" s="65" t="s">
        <v>143</v>
      </c>
      <c r="D26" s="54" t="s">
        <v>23</v>
      </c>
      <c r="E26" s="40" t="s">
        <v>48</v>
      </c>
      <c r="F26" s="30" t="s">
        <v>69</v>
      </c>
      <c r="G26" s="63">
        <v>61300611121</v>
      </c>
      <c r="H26" s="30" t="s">
        <v>100</v>
      </c>
      <c r="I26" s="31" t="s">
        <v>208</v>
      </c>
      <c r="J26" s="30" t="s">
        <v>209</v>
      </c>
      <c r="K26" s="31" t="s">
        <v>167</v>
      </c>
      <c r="L26" s="39">
        <v>1</v>
      </c>
      <c r="M26" s="32">
        <f>L26*5</f>
        <v>5</v>
      </c>
      <c r="N26" s="31">
        <v>20</v>
      </c>
      <c r="O26" s="76" t="s">
        <v>165</v>
      </c>
      <c r="P26" s="33">
        <v>2.9700000000000001E-2</v>
      </c>
      <c r="Q26" s="33">
        <f>P26*N26</f>
        <v>0.59399999999999997</v>
      </c>
      <c r="R26" s="32"/>
    </row>
    <row r="27" spans="1:18" ht="24.75" thickBot="1" x14ac:dyDescent="0.3">
      <c r="A27" s="1"/>
      <c r="B27" s="26">
        <f t="shared" si="1"/>
        <v>18</v>
      </c>
      <c r="C27" s="87" t="s">
        <v>146</v>
      </c>
      <c r="D27" s="88" t="s">
        <v>24</v>
      </c>
      <c r="E27" s="89" t="s">
        <v>49</v>
      </c>
      <c r="F27" s="90" t="s">
        <v>248</v>
      </c>
      <c r="G27" s="88" t="s">
        <v>167</v>
      </c>
      <c r="H27" s="90" t="s">
        <v>167</v>
      </c>
      <c r="I27" s="88" t="s">
        <v>167</v>
      </c>
      <c r="J27" s="90" t="s">
        <v>167</v>
      </c>
      <c r="K27" s="88"/>
      <c r="L27" s="90" t="s">
        <v>167</v>
      </c>
      <c r="M27" s="92" t="s">
        <v>167</v>
      </c>
      <c r="N27" s="88" t="s">
        <v>167</v>
      </c>
      <c r="O27" s="108" t="s">
        <v>167</v>
      </c>
      <c r="P27" s="91" t="s">
        <v>167</v>
      </c>
      <c r="Q27" s="91" t="s">
        <v>167</v>
      </c>
      <c r="R27" s="92"/>
    </row>
    <row r="28" spans="1:18" ht="15.75" thickBot="1" x14ac:dyDescent="0.3">
      <c r="A28" s="1"/>
      <c r="B28" s="26">
        <f t="shared" si="1"/>
        <v>19</v>
      </c>
      <c r="C28" s="65" t="s">
        <v>143</v>
      </c>
      <c r="D28" s="54" t="s">
        <v>25</v>
      </c>
      <c r="E28" s="40" t="s">
        <v>50</v>
      </c>
      <c r="F28" s="30" t="s">
        <v>70</v>
      </c>
      <c r="G28" s="63">
        <v>61300211121</v>
      </c>
      <c r="H28" s="30" t="s">
        <v>100</v>
      </c>
      <c r="I28" s="31" t="s">
        <v>170</v>
      </c>
      <c r="J28" s="30" t="s">
        <v>171</v>
      </c>
      <c r="K28" s="31" t="s">
        <v>167</v>
      </c>
      <c r="L28" s="39">
        <v>1</v>
      </c>
      <c r="M28" s="32">
        <f t="shared" ref="M28" si="8">L28*5</f>
        <v>5</v>
      </c>
      <c r="N28" s="31">
        <v>50</v>
      </c>
      <c r="O28" s="76" t="s">
        <v>165</v>
      </c>
      <c r="P28" s="33">
        <v>1.3299999999999999E-2</v>
      </c>
      <c r="Q28" s="33">
        <f t="shared" ref="Q28:Q45" si="9">P28*N28</f>
        <v>0.66499999999999992</v>
      </c>
      <c r="R28" s="32"/>
    </row>
    <row r="29" spans="1:18" ht="15.75" thickBot="1" x14ac:dyDescent="0.3">
      <c r="A29" s="1"/>
      <c r="B29" s="26">
        <f t="shared" si="1"/>
        <v>20</v>
      </c>
      <c r="C29" s="78" t="s">
        <v>8</v>
      </c>
      <c r="D29" s="79" t="s">
        <v>26</v>
      </c>
      <c r="E29" s="39" t="s">
        <v>241</v>
      </c>
      <c r="F29" s="39" t="s">
        <v>242</v>
      </c>
      <c r="G29" s="39" t="s">
        <v>239</v>
      </c>
      <c r="H29" s="39" t="s">
        <v>240</v>
      </c>
      <c r="I29" s="81" t="s">
        <v>167</v>
      </c>
      <c r="J29" s="39" t="s">
        <v>191</v>
      </c>
      <c r="K29" s="81" t="s">
        <v>167</v>
      </c>
      <c r="L29" s="39">
        <v>6</v>
      </c>
      <c r="M29" s="83">
        <f>L29*5</f>
        <v>30</v>
      </c>
      <c r="N29" s="81">
        <v>32</v>
      </c>
      <c r="O29" s="84" t="s">
        <v>165</v>
      </c>
      <c r="P29" s="82">
        <v>0.57279999999999998</v>
      </c>
      <c r="Q29" s="82">
        <f t="shared" si="9"/>
        <v>18.329599999999999</v>
      </c>
      <c r="R29" s="83"/>
    </row>
    <row r="30" spans="1:18" ht="15.75" thickBot="1" x14ac:dyDescent="0.3">
      <c r="A30" s="1"/>
      <c r="B30" s="26">
        <f t="shared" si="1"/>
        <v>21</v>
      </c>
      <c r="C30" s="65" t="s">
        <v>9</v>
      </c>
      <c r="D30" s="54" t="s">
        <v>219</v>
      </c>
      <c r="E30" s="40" t="s">
        <v>52</v>
      </c>
      <c r="F30" s="30" t="s">
        <v>73</v>
      </c>
      <c r="G30" s="63" t="s">
        <v>85</v>
      </c>
      <c r="H30" s="30" t="s">
        <v>103</v>
      </c>
      <c r="I30" s="31" t="s">
        <v>172</v>
      </c>
      <c r="J30" s="30" t="s">
        <v>173</v>
      </c>
      <c r="K30" s="31" t="s">
        <v>134</v>
      </c>
      <c r="L30" s="39">
        <v>1</v>
      </c>
      <c r="M30" s="32">
        <f>L30*5</f>
        <v>5</v>
      </c>
      <c r="N30" s="31">
        <v>100</v>
      </c>
      <c r="O30" s="76" t="s">
        <v>165</v>
      </c>
      <c r="P30" s="33">
        <v>1.6000000000000001E-3</v>
      </c>
      <c r="Q30" s="33">
        <f t="shared" si="9"/>
        <v>0.16</v>
      </c>
      <c r="R30" s="32"/>
    </row>
    <row r="31" spans="1:18" ht="15.75" thickBot="1" x14ac:dyDescent="0.3">
      <c r="A31" s="1"/>
      <c r="B31" s="26">
        <f t="shared" si="1"/>
        <v>22</v>
      </c>
      <c r="C31" s="78" t="s">
        <v>9</v>
      </c>
      <c r="D31" s="79" t="s">
        <v>181</v>
      </c>
      <c r="E31" s="80" t="s">
        <v>57</v>
      </c>
      <c r="F31" s="39" t="s">
        <v>71</v>
      </c>
      <c r="G31" s="81" t="s">
        <v>90</v>
      </c>
      <c r="H31" s="39" t="s">
        <v>96</v>
      </c>
      <c r="I31" s="81"/>
      <c r="J31" s="39" t="s">
        <v>119</v>
      </c>
      <c r="K31" s="81" t="s">
        <v>139</v>
      </c>
      <c r="L31" s="39">
        <v>1</v>
      </c>
      <c r="M31" s="83">
        <f>L31*5</f>
        <v>5</v>
      </c>
      <c r="N31" s="81">
        <v>100</v>
      </c>
      <c r="O31" s="84" t="s">
        <v>165</v>
      </c>
      <c r="P31" s="82">
        <v>1.1999999999999999E-3</v>
      </c>
      <c r="Q31" s="82">
        <f t="shared" si="9"/>
        <v>0.12</v>
      </c>
      <c r="R31" s="83"/>
    </row>
    <row r="32" spans="1:18" ht="15.75" thickBot="1" x14ac:dyDescent="0.3">
      <c r="A32" s="1"/>
      <c r="B32" s="26">
        <f t="shared" si="1"/>
        <v>23</v>
      </c>
      <c r="C32" s="65" t="s">
        <v>9</v>
      </c>
      <c r="D32" s="54" t="s">
        <v>27</v>
      </c>
      <c r="E32" s="40" t="s">
        <v>51</v>
      </c>
      <c r="F32" s="30" t="s">
        <v>72</v>
      </c>
      <c r="G32" s="31" t="s">
        <v>84</v>
      </c>
      <c r="H32" s="30" t="s">
        <v>96</v>
      </c>
      <c r="I32" s="31" t="s">
        <v>167</v>
      </c>
      <c r="J32" s="30" t="s">
        <v>192</v>
      </c>
      <c r="K32" s="31" t="s">
        <v>132</v>
      </c>
      <c r="L32" s="39">
        <v>3</v>
      </c>
      <c r="M32" s="32">
        <f>L32*5</f>
        <v>15</v>
      </c>
      <c r="N32" s="31">
        <v>100</v>
      </c>
      <c r="O32" s="76" t="s">
        <v>165</v>
      </c>
      <c r="P32" s="33">
        <v>1E-3</v>
      </c>
      <c r="Q32" s="33">
        <f t="shared" si="9"/>
        <v>0.1</v>
      </c>
      <c r="R32" s="32"/>
    </row>
    <row r="33" spans="1:18" ht="15.75" thickBot="1" x14ac:dyDescent="0.3">
      <c r="A33" s="1"/>
      <c r="B33" s="26">
        <f t="shared" si="1"/>
        <v>24</v>
      </c>
      <c r="C33" s="78" t="s">
        <v>9</v>
      </c>
      <c r="D33" s="79" t="s">
        <v>28</v>
      </c>
      <c r="E33" s="39" t="s">
        <v>243</v>
      </c>
      <c r="F33" s="39" t="s">
        <v>72</v>
      </c>
      <c r="G33" s="39" t="s">
        <v>244</v>
      </c>
      <c r="H33" s="39" t="s">
        <v>96</v>
      </c>
      <c r="I33" s="39"/>
      <c r="J33" s="39" t="s">
        <v>245</v>
      </c>
      <c r="K33" s="39" t="s">
        <v>133</v>
      </c>
      <c r="L33" s="39">
        <v>6</v>
      </c>
      <c r="M33" s="83">
        <f t="shared" ref="M33" si="10">L33*5</f>
        <v>30</v>
      </c>
      <c r="N33" s="81">
        <v>100</v>
      </c>
      <c r="O33" s="84" t="s">
        <v>165</v>
      </c>
      <c r="P33" s="82">
        <v>6.9999999999999999E-4</v>
      </c>
      <c r="Q33" s="82">
        <f t="shared" si="9"/>
        <v>6.9999999999999993E-2</v>
      </c>
      <c r="R33" s="83"/>
    </row>
    <row r="34" spans="1:18" ht="15.75" thickBot="1" x14ac:dyDescent="0.3">
      <c r="A34" s="53"/>
      <c r="B34" s="106">
        <f>ROW(B34) - ROW($B$9)</f>
        <v>25</v>
      </c>
      <c r="C34" s="78" t="s">
        <v>9</v>
      </c>
      <c r="D34" s="30" t="s">
        <v>218</v>
      </c>
      <c r="E34" s="30" t="s">
        <v>220</v>
      </c>
      <c r="F34" s="30" t="s">
        <v>72</v>
      </c>
      <c r="G34" s="30" t="s">
        <v>221</v>
      </c>
      <c r="H34" s="30" t="s">
        <v>96</v>
      </c>
      <c r="I34" s="30" t="s">
        <v>167</v>
      </c>
      <c r="J34" s="30" t="s">
        <v>222</v>
      </c>
      <c r="K34" s="30" t="s">
        <v>134</v>
      </c>
      <c r="L34" s="30">
        <v>3</v>
      </c>
      <c r="M34" s="30">
        <f>L34*5</f>
        <v>15</v>
      </c>
      <c r="N34" s="30">
        <v>100</v>
      </c>
      <c r="O34" s="107" t="s">
        <v>165</v>
      </c>
      <c r="P34" s="33">
        <v>5.9999999999999995E-4</v>
      </c>
      <c r="Q34" s="33">
        <f>P34*N34</f>
        <v>0.06</v>
      </c>
      <c r="R34" s="30"/>
    </row>
    <row r="35" spans="1:18" ht="15.75" thickBot="1" x14ac:dyDescent="0.3">
      <c r="A35" s="1"/>
      <c r="B35" s="26">
        <f t="shared" si="1"/>
        <v>26</v>
      </c>
      <c r="C35" s="65" t="s">
        <v>9</v>
      </c>
      <c r="D35" s="54" t="s">
        <v>29</v>
      </c>
      <c r="E35" s="40" t="s">
        <v>53</v>
      </c>
      <c r="F35" s="30" t="s">
        <v>71</v>
      </c>
      <c r="G35" s="31" t="s">
        <v>86</v>
      </c>
      <c r="H35" s="30" t="s">
        <v>104</v>
      </c>
      <c r="I35" s="31" t="s">
        <v>167</v>
      </c>
      <c r="J35" s="30" t="s">
        <v>117</v>
      </c>
      <c r="K35" s="31" t="s">
        <v>135</v>
      </c>
      <c r="L35" s="39">
        <v>3</v>
      </c>
      <c r="M35" s="32">
        <f t="shared" ref="M35" si="11">L35*5</f>
        <v>15</v>
      </c>
      <c r="N35" s="31">
        <v>20</v>
      </c>
      <c r="O35" s="76" t="s">
        <v>165</v>
      </c>
      <c r="P35" s="33">
        <v>3.2199999999999999E-2</v>
      </c>
      <c r="Q35" s="33">
        <f t="shared" si="9"/>
        <v>0.64400000000000002</v>
      </c>
      <c r="R35" s="32"/>
    </row>
    <row r="36" spans="1:18" ht="24.75" thickBot="1" x14ac:dyDescent="0.3">
      <c r="A36" s="1"/>
      <c r="B36" s="26">
        <f t="shared" si="1"/>
        <v>27</v>
      </c>
      <c r="C36" s="78" t="s">
        <v>9</v>
      </c>
      <c r="D36" s="93" t="s">
        <v>30</v>
      </c>
      <c r="E36" s="39" t="s">
        <v>203</v>
      </c>
      <c r="F36" s="39" t="s">
        <v>204</v>
      </c>
      <c r="G36" s="39" t="s">
        <v>205</v>
      </c>
      <c r="H36" s="39" t="s">
        <v>96</v>
      </c>
      <c r="I36" s="39" t="s">
        <v>167</v>
      </c>
      <c r="J36" s="39" t="s">
        <v>206</v>
      </c>
      <c r="K36" s="39" t="s">
        <v>207</v>
      </c>
      <c r="L36" s="39">
        <v>3</v>
      </c>
      <c r="M36" s="83">
        <f>L36*5</f>
        <v>15</v>
      </c>
      <c r="N36" s="81">
        <v>20</v>
      </c>
      <c r="O36" s="84" t="s">
        <v>165</v>
      </c>
      <c r="P36" s="82">
        <v>0.21129999999999999</v>
      </c>
      <c r="Q36" s="82">
        <f t="shared" si="9"/>
        <v>4.226</v>
      </c>
      <c r="R36" s="83"/>
    </row>
    <row r="37" spans="1:18" ht="15.75" thickBot="1" x14ac:dyDescent="0.3">
      <c r="A37" s="1"/>
      <c r="B37" s="26">
        <f t="shared" si="1"/>
        <v>28</v>
      </c>
      <c r="C37" s="65" t="s">
        <v>9</v>
      </c>
      <c r="D37" s="54" t="s">
        <v>31</v>
      </c>
      <c r="E37" s="40" t="s">
        <v>54</v>
      </c>
      <c r="F37" s="30" t="s">
        <v>71</v>
      </c>
      <c r="G37" s="31" t="s">
        <v>87</v>
      </c>
      <c r="H37" s="30" t="s">
        <v>96</v>
      </c>
      <c r="I37" s="31"/>
      <c r="J37" s="30" t="s">
        <v>193</v>
      </c>
      <c r="K37" s="31" t="s">
        <v>136</v>
      </c>
      <c r="L37" s="39">
        <v>1</v>
      </c>
      <c r="M37" s="32">
        <f t="shared" ref="M37" si="12">L37*5</f>
        <v>5</v>
      </c>
      <c r="N37" s="31">
        <v>100</v>
      </c>
      <c r="O37" s="76" t="s">
        <v>165</v>
      </c>
      <c r="P37" s="33">
        <v>1.1999999999999999E-3</v>
      </c>
      <c r="Q37" s="33">
        <f t="shared" si="9"/>
        <v>0.12</v>
      </c>
      <c r="R37" s="32"/>
    </row>
    <row r="38" spans="1:18" ht="15.75" thickBot="1" x14ac:dyDescent="0.3">
      <c r="A38" s="1"/>
      <c r="B38" s="26">
        <f t="shared" si="1"/>
        <v>29</v>
      </c>
      <c r="C38" s="78" t="s">
        <v>9</v>
      </c>
      <c r="D38" s="79" t="s">
        <v>32</v>
      </c>
      <c r="E38" s="80" t="s">
        <v>55</v>
      </c>
      <c r="F38" s="39" t="s">
        <v>74</v>
      </c>
      <c r="G38" s="88" t="s">
        <v>88</v>
      </c>
      <c r="H38" s="39" t="s">
        <v>105</v>
      </c>
      <c r="I38" s="81" t="s">
        <v>174</v>
      </c>
      <c r="J38" s="39" t="s">
        <v>175</v>
      </c>
      <c r="K38" s="81" t="s">
        <v>137</v>
      </c>
      <c r="L38" s="39">
        <v>1</v>
      </c>
      <c r="M38" s="83">
        <f>L38*5</f>
        <v>5</v>
      </c>
      <c r="N38" s="81">
        <v>100</v>
      </c>
      <c r="O38" s="84" t="s">
        <v>165</v>
      </c>
      <c r="P38" s="82">
        <v>5.9999999999999995E-4</v>
      </c>
      <c r="Q38" s="82">
        <f t="shared" si="9"/>
        <v>0.06</v>
      </c>
      <c r="R38" s="83"/>
    </row>
    <row r="39" spans="1:18" ht="36.75" customHeight="1" thickBot="1" x14ac:dyDescent="0.3">
      <c r="A39" s="1"/>
      <c r="B39" s="26">
        <f t="shared" si="1"/>
        <v>30</v>
      </c>
      <c r="C39" s="65" t="s">
        <v>9</v>
      </c>
      <c r="D39" s="54" t="s">
        <v>33</v>
      </c>
      <c r="E39" s="40" t="s">
        <v>56</v>
      </c>
      <c r="F39" s="30" t="s">
        <v>75</v>
      </c>
      <c r="G39" s="31" t="s">
        <v>89</v>
      </c>
      <c r="H39" s="30" t="s">
        <v>106</v>
      </c>
      <c r="I39" s="31" t="s">
        <v>167</v>
      </c>
      <c r="J39" s="30" t="s">
        <v>118</v>
      </c>
      <c r="K39" s="31" t="s">
        <v>138</v>
      </c>
      <c r="L39" s="39">
        <v>1</v>
      </c>
      <c r="M39" s="32">
        <f t="shared" ref="M39:M40" si="13">L39*5</f>
        <v>5</v>
      </c>
      <c r="N39" s="31">
        <v>10</v>
      </c>
      <c r="O39" s="76" t="s">
        <v>165</v>
      </c>
      <c r="P39" s="33">
        <v>4.53E-2</v>
      </c>
      <c r="Q39" s="33">
        <f t="shared" si="9"/>
        <v>0.45300000000000001</v>
      </c>
      <c r="R39" s="32" t="s">
        <v>201</v>
      </c>
    </row>
    <row r="40" spans="1:18" ht="15.75" thickBot="1" x14ac:dyDescent="0.3">
      <c r="A40" s="1"/>
      <c r="B40" s="26">
        <f t="shared" si="1"/>
        <v>31</v>
      </c>
      <c r="C40" s="78" t="s">
        <v>9</v>
      </c>
      <c r="D40" s="79" t="s">
        <v>186</v>
      </c>
      <c r="E40" s="80" t="s">
        <v>187</v>
      </c>
      <c r="F40" s="39" t="s">
        <v>71</v>
      </c>
      <c r="G40" s="81" t="s">
        <v>188</v>
      </c>
      <c r="H40" s="39" t="s">
        <v>96</v>
      </c>
      <c r="I40" s="81" t="s">
        <v>167</v>
      </c>
      <c r="J40" s="39" t="s">
        <v>190</v>
      </c>
      <c r="K40" s="81" t="s">
        <v>189</v>
      </c>
      <c r="L40" s="39">
        <v>1</v>
      </c>
      <c r="M40" s="32">
        <f t="shared" si="13"/>
        <v>5</v>
      </c>
      <c r="N40" s="81">
        <v>100</v>
      </c>
      <c r="O40" s="84" t="s">
        <v>165</v>
      </c>
      <c r="P40" s="82">
        <v>1.1000000000000001E-3</v>
      </c>
      <c r="Q40" s="82">
        <f t="shared" si="9"/>
        <v>0.11</v>
      </c>
      <c r="R40" s="83"/>
    </row>
    <row r="41" spans="1:18" ht="24.75" thickBot="1" x14ac:dyDescent="0.3">
      <c r="A41" s="1"/>
      <c r="B41" s="26">
        <f t="shared" si="1"/>
        <v>32</v>
      </c>
      <c r="C41" s="65" t="s">
        <v>147</v>
      </c>
      <c r="D41" s="54" t="s">
        <v>34</v>
      </c>
      <c r="E41" s="40" t="s">
        <v>58</v>
      </c>
      <c r="F41" s="30" t="s">
        <v>248</v>
      </c>
      <c r="G41" s="31" t="s">
        <v>91</v>
      </c>
      <c r="H41" s="30" t="s">
        <v>107</v>
      </c>
      <c r="I41" s="31" t="s">
        <v>167</v>
      </c>
      <c r="J41" s="30" t="s">
        <v>120</v>
      </c>
      <c r="K41" s="31" t="s">
        <v>167</v>
      </c>
      <c r="L41" s="39">
        <v>1</v>
      </c>
      <c r="M41" s="32">
        <f>L41*5</f>
        <v>5</v>
      </c>
      <c r="N41" s="31">
        <v>10</v>
      </c>
      <c r="O41" s="76" t="s">
        <v>165</v>
      </c>
      <c r="P41" s="33">
        <v>5.7599999999999998E-2</v>
      </c>
      <c r="Q41" s="33">
        <f t="shared" si="9"/>
        <v>0.57599999999999996</v>
      </c>
      <c r="R41" s="32"/>
    </row>
    <row r="42" spans="1:18" ht="24.75" thickBot="1" x14ac:dyDescent="0.3">
      <c r="A42" s="1"/>
      <c r="B42" s="26">
        <f t="shared" si="1"/>
        <v>33</v>
      </c>
      <c r="C42" s="78" t="s">
        <v>10</v>
      </c>
      <c r="D42" s="79" t="s">
        <v>35</v>
      </c>
      <c r="E42" s="80" t="s">
        <v>59</v>
      </c>
      <c r="F42" s="39" t="s">
        <v>76</v>
      </c>
      <c r="G42" s="81" t="s">
        <v>92</v>
      </c>
      <c r="H42" s="39" t="s">
        <v>108</v>
      </c>
      <c r="I42" s="81" t="s">
        <v>167</v>
      </c>
      <c r="J42" s="39" t="s">
        <v>167</v>
      </c>
      <c r="K42" s="81" t="s">
        <v>167</v>
      </c>
      <c r="L42" s="39">
        <v>1</v>
      </c>
      <c r="M42" s="83">
        <f t="shared" ref="M42:M43" si="14">L42*5</f>
        <v>5</v>
      </c>
      <c r="N42" s="81">
        <v>6</v>
      </c>
      <c r="O42" s="84" t="s">
        <v>199</v>
      </c>
      <c r="P42" s="82">
        <v>6.5</v>
      </c>
      <c r="Q42" s="82">
        <f t="shared" si="9"/>
        <v>39</v>
      </c>
      <c r="R42" s="94" t="s">
        <v>200</v>
      </c>
    </row>
    <row r="43" spans="1:18" s="69" customFormat="1" ht="36.75" thickBot="1" x14ac:dyDescent="0.3">
      <c r="A43" s="70"/>
      <c r="B43" s="26">
        <f t="shared" si="1"/>
        <v>34</v>
      </c>
      <c r="C43" s="65" t="s">
        <v>10</v>
      </c>
      <c r="D43" s="54" t="s">
        <v>36</v>
      </c>
      <c r="E43" s="40" t="s">
        <v>182</v>
      </c>
      <c r="F43" s="30" t="s">
        <v>183</v>
      </c>
      <c r="G43" s="31" t="s">
        <v>184</v>
      </c>
      <c r="H43" s="30" t="s">
        <v>185</v>
      </c>
      <c r="I43" s="31" t="s">
        <v>167</v>
      </c>
      <c r="J43" s="30" t="s">
        <v>167</v>
      </c>
      <c r="K43" s="31" t="s">
        <v>167</v>
      </c>
      <c r="L43" s="39">
        <v>1</v>
      </c>
      <c r="M43" s="32">
        <f t="shared" si="14"/>
        <v>5</v>
      </c>
      <c r="N43" s="31">
        <v>6</v>
      </c>
      <c r="O43" s="76" t="s">
        <v>199</v>
      </c>
      <c r="P43" s="33">
        <v>6.5</v>
      </c>
      <c r="Q43" s="33">
        <f t="shared" si="9"/>
        <v>39</v>
      </c>
      <c r="R43" s="64" t="s">
        <v>200</v>
      </c>
    </row>
    <row r="44" spans="1:18" ht="15.75" thickBot="1" x14ac:dyDescent="0.3">
      <c r="A44" s="1"/>
      <c r="B44" s="26">
        <f t="shared" si="1"/>
        <v>35</v>
      </c>
      <c r="C44" s="78" t="s">
        <v>10</v>
      </c>
      <c r="D44" s="79" t="s">
        <v>37</v>
      </c>
      <c r="E44" s="80" t="s">
        <v>60</v>
      </c>
      <c r="F44" s="39" t="s">
        <v>77</v>
      </c>
      <c r="G44" s="81" t="s">
        <v>93</v>
      </c>
      <c r="H44" s="39" t="s">
        <v>109</v>
      </c>
      <c r="I44" s="81" t="s">
        <v>167</v>
      </c>
      <c r="J44" s="39" t="s">
        <v>176</v>
      </c>
      <c r="K44" s="81" t="s">
        <v>167</v>
      </c>
      <c r="L44" s="39">
        <v>1</v>
      </c>
      <c r="M44" s="83">
        <f t="shared" ref="M44" si="15">L44*5</f>
        <v>5</v>
      </c>
      <c r="N44" s="81">
        <v>6</v>
      </c>
      <c r="O44" s="84" t="s">
        <v>165</v>
      </c>
      <c r="P44" s="82">
        <v>1.2919</v>
      </c>
      <c r="Q44" s="82">
        <f t="shared" si="9"/>
        <v>7.7514000000000003</v>
      </c>
      <c r="R44" s="83"/>
    </row>
    <row r="45" spans="1:18" ht="24.75" thickBot="1" x14ac:dyDescent="0.3">
      <c r="A45" s="1"/>
      <c r="B45" s="26">
        <f t="shared" si="1"/>
        <v>36</v>
      </c>
      <c r="C45" s="65" t="s">
        <v>10</v>
      </c>
      <c r="D45" s="54" t="s">
        <v>38</v>
      </c>
      <c r="E45" s="40" t="s">
        <v>61</v>
      </c>
      <c r="F45" s="30" t="s">
        <v>78</v>
      </c>
      <c r="G45" s="31" t="s">
        <v>94</v>
      </c>
      <c r="H45" s="30" t="s">
        <v>110</v>
      </c>
      <c r="I45" s="31" t="s">
        <v>167</v>
      </c>
      <c r="J45" s="30" t="s">
        <v>121</v>
      </c>
      <c r="K45" s="31" t="s">
        <v>167</v>
      </c>
      <c r="L45" s="105">
        <v>1</v>
      </c>
      <c r="M45" s="32">
        <f>L45*5</f>
        <v>5</v>
      </c>
      <c r="N45" s="31">
        <v>10</v>
      </c>
      <c r="O45" s="77" t="s">
        <v>165</v>
      </c>
      <c r="P45" s="33">
        <v>7.6300000000000007E-2</v>
      </c>
      <c r="Q45" s="33">
        <f t="shared" si="9"/>
        <v>0.76300000000000012</v>
      </c>
      <c r="R45" s="32"/>
    </row>
    <row r="46" spans="1:18" ht="16.5" thickBot="1" x14ac:dyDescent="0.3">
      <c r="A46" s="1"/>
      <c r="B46" s="22"/>
      <c r="C46" s="28"/>
      <c r="D46" s="23"/>
      <c r="E46" s="41"/>
      <c r="F46" s="24"/>
      <c r="G46" s="25"/>
      <c r="H46" s="24"/>
      <c r="I46" s="25"/>
      <c r="J46" s="24"/>
      <c r="K46" s="25"/>
      <c r="L46" s="43"/>
      <c r="M46" s="25"/>
      <c r="N46" s="25"/>
      <c r="O46" s="115" t="s">
        <v>177</v>
      </c>
      <c r="P46" s="116"/>
      <c r="Q46" s="75">
        <f>SUM(Q10:Q45)</f>
        <v>128.4845</v>
      </c>
      <c r="R46" s="113"/>
    </row>
    <row r="47" spans="1:18" ht="16.5" thickBot="1" x14ac:dyDescent="0.3">
      <c r="A47" s="1"/>
      <c r="B47" s="18"/>
      <c r="C47" s="29"/>
      <c r="D47" s="7"/>
      <c r="E47" s="42"/>
      <c r="F47" s="8"/>
      <c r="G47" s="8"/>
      <c r="H47" s="8"/>
      <c r="I47" s="8"/>
      <c r="J47" s="8"/>
      <c r="K47" s="8"/>
      <c r="L47" s="8"/>
      <c r="M47" s="8"/>
      <c r="N47" s="8"/>
      <c r="O47" s="117" t="s">
        <v>178</v>
      </c>
      <c r="P47" s="118"/>
      <c r="Q47" s="52">
        <f>(Q46/5)</f>
        <v>25.696899999999999</v>
      </c>
      <c r="R47" s="114"/>
    </row>
  </sheetData>
  <mergeCells count="4">
    <mergeCell ref="R3:R8"/>
    <mergeCell ref="R46:R47"/>
    <mergeCell ref="O46:P46"/>
    <mergeCell ref="O47:P47"/>
  </mergeCells>
  <hyperlinks>
    <hyperlink ref="H10" r:id="rId1" display="https://www.lcsc.com/brand-detail/994.html"/>
    <hyperlink ref="O10" r:id="rId2"/>
    <hyperlink ref="O14" r:id="rId3"/>
    <hyperlink ref="O15" r:id="rId4"/>
    <hyperlink ref="O20" r:id="rId5"/>
    <hyperlink ref="O18" r:id="rId6"/>
    <hyperlink ref="O28" r:id="rId7"/>
    <hyperlink ref="O21" r:id="rId8"/>
    <hyperlink ref="O22" r:id="rId9"/>
    <hyperlink ref="O23" r:id="rId10"/>
    <hyperlink ref="O29" r:id="rId11"/>
    <hyperlink ref="O24" r:id="rId12"/>
    <hyperlink ref="O30" r:id="rId13"/>
    <hyperlink ref="O35" r:id="rId14"/>
    <hyperlink ref="O37" r:id="rId15"/>
    <hyperlink ref="O38" r:id="rId16"/>
    <hyperlink ref="O39" r:id="rId17"/>
    <hyperlink ref="O31" r:id="rId18"/>
    <hyperlink ref="O45" r:id="rId19"/>
    <hyperlink ref="O44" r:id="rId20"/>
    <hyperlink ref="O40" r:id="rId21"/>
    <hyperlink ref="O26" r:id="rId22"/>
    <hyperlink ref="O36" r:id="rId23"/>
    <hyperlink ref="O41" r:id="rId24"/>
    <hyperlink ref="O19" r:id="rId25"/>
    <hyperlink ref="O34" r:id="rId26"/>
    <hyperlink ref="O11" r:id="rId27"/>
    <hyperlink ref="O12" r:id="rId28"/>
    <hyperlink ref="O13" r:id="rId29"/>
    <hyperlink ref="O16" r:id="rId30"/>
    <hyperlink ref="O17" r:id="rId31"/>
    <hyperlink ref="O33" r:id="rId32"/>
    <hyperlink ref="O32" r:id="rId33"/>
  </hyperlinks>
  <pageMargins left="0.7" right="0.7" top="0.75" bottom="0.75" header="0.3" footer="0.3"/>
  <pageSetup paperSize="9" orientation="portrait" r:id="rId34"/>
  <drawing r:id="rId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abSelected="1" topLeftCell="A21" workbookViewId="0">
      <selection activeCell="I39" sqref="I39"/>
    </sheetView>
  </sheetViews>
  <sheetFormatPr defaultRowHeight="15" x14ac:dyDescent="0.25"/>
  <cols>
    <col min="2" max="2" width="3" bestFit="1" customWidth="1"/>
    <col min="3" max="3" width="10.85546875" customWidth="1"/>
    <col min="4" max="4" width="31.140625" bestFit="1" customWidth="1"/>
    <col min="5" max="5" width="31.28515625" customWidth="1"/>
    <col min="6" max="6" width="21.85546875" customWidth="1"/>
    <col min="7" max="7" width="25.28515625" bestFit="1" customWidth="1"/>
    <col min="8" max="8" width="17.140625" customWidth="1"/>
    <col min="9" max="9" width="21.5703125" bestFit="1" customWidth="1"/>
    <col min="10" max="10" width="17" bestFit="1" customWidth="1"/>
    <col min="11" max="11" width="6.28515625" bestFit="1" customWidth="1"/>
    <col min="12" max="12" width="8.7109375" bestFit="1" customWidth="1"/>
    <col min="13" max="13" width="20.140625" bestFit="1" customWidth="1"/>
    <col min="14" max="14" width="17.140625" bestFit="1" customWidth="1"/>
    <col min="15" max="15" width="9.7109375" customWidth="1"/>
    <col min="16" max="16" width="20" bestFit="1" customWidth="1"/>
    <col min="17" max="17" width="21.140625" bestFit="1" customWidth="1"/>
    <col min="18" max="18" width="26.85546875" bestFit="1" customWidth="1"/>
  </cols>
  <sheetData>
    <row r="1" spans="1:18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7"/>
    </row>
    <row r="2" spans="1:18" ht="32.25" thickBot="1" x14ac:dyDescent="0.3">
      <c r="A2" s="1"/>
      <c r="B2" s="15"/>
      <c r="C2" s="27"/>
      <c r="D2" s="9" t="s">
        <v>0</v>
      </c>
      <c r="E2" s="55"/>
      <c r="F2" s="44" t="s">
        <v>202</v>
      </c>
      <c r="G2" s="34"/>
      <c r="H2" s="34"/>
      <c r="I2" s="3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16"/>
      <c r="C3" s="56"/>
      <c r="D3" s="57" t="s">
        <v>1</v>
      </c>
      <c r="E3" s="57"/>
      <c r="F3" s="58" t="s">
        <v>211</v>
      </c>
      <c r="G3" s="57"/>
      <c r="H3" s="59"/>
      <c r="I3" s="57"/>
      <c r="J3" s="59"/>
      <c r="K3" s="5"/>
      <c r="L3" s="59"/>
      <c r="M3" s="59"/>
      <c r="N3" s="59"/>
      <c r="O3" s="59"/>
      <c r="P3" s="59"/>
      <c r="Q3" s="59"/>
      <c r="R3" s="110"/>
    </row>
    <row r="4" spans="1:18" x14ac:dyDescent="0.25">
      <c r="A4" s="1"/>
      <c r="B4" s="16"/>
      <c r="C4" s="56"/>
      <c r="D4" s="57" t="s">
        <v>2</v>
      </c>
      <c r="E4" s="57"/>
      <c r="F4" s="35" t="s">
        <v>211</v>
      </c>
      <c r="G4" s="10"/>
      <c r="H4" s="6"/>
      <c r="I4" s="10"/>
      <c r="J4" s="6"/>
      <c r="K4" s="5"/>
      <c r="L4" s="6"/>
      <c r="M4" s="6"/>
      <c r="N4" s="6"/>
      <c r="O4" s="6"/>
      <c r="P4" s="6"/>
      <c r="Q4" s="51"/>
      <c r="R4" s="111"/>
    </row>
    <row r="5" spans="1:18" x14ac:dyDescent="0.25">
      <c r="A5" s="1"/>
      <c r="B5" s="16"/>
      <c r="C5" s="56"/>
      <c r="D5" s="57" t="s">
        <v>3</v>
      </c>
      <c r="E5" s="57"/>
      <c r="F5" s="36" t="s">
        <v>5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111"/>
    </row>
    <row r="6" spans="1:18" x14ac:dyDescent="0.25">
      <c r="A6" s="1"/>
      <c r="B6" s="16"/>
      <c r="C6" s="56"/>
      <c r="D6" s="57"/>
      <c r="E6" s="57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111"/>
    </row>
    <row r="7" spans="1:18" x14ac:dyDescent="0.25">
      <c r="A7" s="1"/>
      <c r="B7" s="17"/>
      <c r="C7" s="60"/>
      <c r="D7" s="61"/>
      <c r="E7" s="61"/>
      <c r="F7" s="13"/>
      <c r="G7" s="61"/>
      <c r="H7" s="62"/>
      <c r="I7" s="61"/>
      <c r="J7" s="62"/>
      <c r="K7" s="62"/>
      <c r="L7" s="62"/>
      <c r="M7" s="62"/>
      <c r="N7" s="62"/>
      <c r="O7" s="62"/>
      <c r="P7" s="62"/>
      <c r="Q7" s="62"/>
      <c r="R7" s="111"/>
    </row>
    <row r="8" spans="1:18" ht="15.75" thickBot="1" x14ac:dyDescent="0.3">
      <c r="A8" s="1"/>
      <c r="B8" s="45"/>
      <c r="C8" s="46"/>
      <c r="D8" s="47"/>
      <c r="E8" s="47"/>
      <c r="F8" s="48"/>
      <c r="G8" s="49"/>
      <c r="H8" s="50"/>
      <c r="I8" s="49"/>
      <c r="J8" s="50"/>
      <c r="K8" s="50"/>
      <c r="L8" s="50"/>
      <c r="M8" s="50"/>
      <c r="N8" s="50"/>
      <c r="O8" s="50"/>
      <c r="P8" s="50"/>
      <c r="Q8" s="50"/>
      <c r="R8" s="112"/>
    </row>
    <row r="9" spans="1:18" ht="15.75" thickBot="1" x14ac:dyDescent="0.3">
      <c r="A9" s="1"/>
      <c r="B9" s="20" t="s">
        <v>4</v>
      </c>
      <c r="C9" s="20" t="s">
        <v>6</v>
      </c>
      <c r="D9" s="37" t="s">
        <v>11</v>
      </c>
      <c r="E9" s="38" t="s">
        <v>39</v>
      </c>
      <c r="F9" s="20" t="s">
        <v>62</v>
      </c>
      <c r="G9" s="21" t="s">
        <v>79</v>
      </c>
      <c r="H9" s="20" t="s">
        <v>95</v>
      </c>
      <c r="I9" s="20" t="s">
        <v>148</v>
      </c>
      <c r="J9" s="21" t="s">
        <v>111</v>
      </c>
      <c r="K9" s="20" t="s">
        <v>149</v>
      </c>
      <c r="L9" s="38" t="s">
        <v>140</v>
      </c>
      <c r="M9" s="20" t="s">
        <v>150</v>
      </c>
      <c r="N9" s="37" t="s">
        <v>152</v>
      </c>
      <c r="O9" s="38" t="s">
        <v>154</v>
      </c>
      <c r="P9" s="20" t="s">
        <v>155</v>
      </c>
      <c r="Q9" s="20" t="s">
        <v>156</v>
      </c>
      <c r="R9" s="37" t="s">
        <v>157</v>
      </c>
    </row>
    <row r="10" spans="1:18" s="69" customFormat="1" ht="15.75" thickBot="1" x14ac:dyDescent="0.3">
      <c r="A10" s="68"/>
      <c r="B10" s="26">
        <f>ROW(B10) - ROW($B$9)</f>
        <v>1</v>
      </c>
      <c r="C10" s="65" t="s">
        <v>141</v>
      </c>
      <c r="D10" s="54" t="s">
        <v>12</v>
      </c>
      <c r="E10" s="40" t="s">
        <v>160</v>
      </c>
      <c r="F10" s="86" t="s">
        <v>161</v>
      </c>
      <c r="G10" s="31" t="s">
        <v>162</v>
      </c>
      <c r="H10" s="30" t="s">
        <v>163</v>
      </c>
      <c r="I10" s="31" t="s">
        <v>167</v>
      </c>
      <c r="J10" s="30" t="s">
        <v>164</v>
      </c>
      <c r="K10" s="31" t="s">
        <v>122</v>
      </c>
      <c r="L10" s="86">
        <v>2</v>
      </c>
      <c r="M10" s="102">
        <f>L10*10</f>
        <v>20</v>
      </c>
      <c r="N10" s="104">
        <v>25</v>
      </c>
      <c r="O10" s="76" t="s">
        <v>165</v>
      </c>
      <c r="P10" s="33">
        <v>0.29320000000000002</v>
      </c>
      <c r="Q10" s="33">
        <f>P10*N10</f>
        <v>7.33</v>
      </c>
      <c r="R10" s="32"/>
    </row>
    <row r="11" spans="1:18" s="69" customFormat="1" ht="15.75" thickBot="1" x14ac:dyDescent="0.3">
      <c r="A11" s="68"/>
      <c r="B11" s="26">
        <f t="shared" ref="B11:B45" si="0">ROW(B11) - ROW($B$9)</f>
        <v>2</v>
      </c>
      <c r="C11" s="78" t="s">
        <v>141</v>
      </c>
      <c r="D11" s="79" t="s">
        <v>210</v>
      </c>
      <c r="E11" s="39" t="s">
        <v>223</v>
      </c>
      <c r="F11" s="39" t="s">
        <v>65</v>
      </c>
      <c r="G11" s="39" t="s">
        <v>224</v>
      </c>
      <c r="H11" s="39" t="s">
        <v>225</v>
      </c>
      <c r="I11" s="39" t="s">
        <v>167</v>
      </c>
      <c r="J11" s="39" t="s">
        <v>226</v>
      </c>
      <c r="K11" s="39" t="s">
        <v>123</v>
      </c>
      <c r="L11" s="39">
        <v>3</v>
      </c>
      <c r="M11" s="39">
        <f t="shared" ref="M11:M45" si="1">L11*10</f>
        <v>30</v>
      </c>
      <c r="N11" s="83">
        <v>50</v>
      </c>
      <c r="O11" s="84" t="s">
        <v>165</v>
      </c>
      <c r="P11" s="82">
        <v>1.1299999999999999E-2</v>
      </c>
      <c r="Q11" s="33">
        <f t="shared" ref="Q11:Q45" si="2">P11*N11</f>
        <v>0.56499999999999995</v>
      </c>
      <c r="R11" s="83"/>
    </row>
    <row r="12" spans="1:18" s="69" customFormat="1" ht="15.75" thickBot="1" x14ac:dyDescent="0.3">
      <c r="A12" s="68"/>
      <c r="B12" s="26">
        <f>ROW(B12) - ROW($B$9)</f>
        <v>3</v>
      </c>
      <c r="C12" s="65" t="s">
        <v>141</v>
      </c>
      <c r="D12" s="54" t="s">
        <v>212</v>
      </c>
      <c r="E12" s="30" t="s">
        <v>227</v>
      </c>
      <c r="F12" s="30" t="s">
        <v>65</v>
      </c>
      <c r="G12" s="30" t="s">
        <v>228</v>
      </c>
      <c r="H12" s="30" t="s">
        <v>225</v>
      </c>
      <c r="I12" s="30" t="s">
        <v>167</v>
      </c>
      <c r="J12" s="30" t="s">
        <v>229</v>
      </c>
      <c r="K12" s="30" t="s">
        <v>124</v>
      </c>
      <c r="L12" s="30">
        <v>4</v>
      </c>
      <c r="M12" s="39">
        <f t="shared" si="1"/>
        <v>40</v>
      </c>
      <c r="N12" s="32">
        <v>60</v>
      </c>
      <c r="O12" s="76" t="s">
        <v>165</v>
      </c>
      <c r="P12" s="33">
        <v>3.7900000000000003E-2</v>
      </c>
      <c r="Q12" s="33">
        <f t="shared" si="2"/>
        <v>2.274</v>
      </c>
      <c r="R12" s="32"/>
    </row>
    <row r="13" spans="1:18" s="69" customFormat="1" ht="15.75" thickBot="1" x14ac:dyDescent="0.3">
      <c r="A13" s="68"/>
      <c r="B13" s="26">
        <f t="shared" si="0"/>
        <v>4</v>
      </c>
      <c r="C13" s="78" t="s">
        <v>141</v>
      </c>
      <c r="D13" s="79" t="s">
        <v>13</v>
      </c>
      <c r="E13" s="39" t="s">
        <v>230</v>
      </c>
      <c r="F13" s="39" t="s">
        <v>65</v>
      </c>
      <c r="G13" s="39" t="s">
        <v>231</v>
      </c>
      <c r="H13" s="39" t="s">
        <v>98</v>
      </c>
      <c r="I13" s="39" t="s">
        <v>167</v>
      </c>
      <c r="J13" s="39" t="s">
        <v>232</v>
      </c>
      <c r="K13" s="39" t="s">
        <v>125</v>
      </c>
      <c r="L13" s="39">
        <v>1</v>
      </c>
      <c r="M13" s="39">
        <f t="shared" si="1"/>
        <v>10</v>
      </c>
      <c r="N13" s="83">
        <v>50</v>
      </c>
      <c r="O13" s="84" t="s">
        <v>165</v>
      </c>
      <c r="P13" s="82">
        <v>1.38E-2</v>
      </c>
      <c r="Q13" s="33">
        <f t="shared" si="2"/>
        <v>0.69</v>
      </c>
      <c r="R13" s="83"/>
    </row>
    <row r="14" spans="1:18" s="69" customFormat="1" ht="15.75" thickBot="1" x14ac:dyDescent="0.3">
      <c r="A14" s="68"/>
      <c r="B14" s="26">
        <f>ROW(B14) - ROW($B$9)</f>
        <v>5</v>
      </c>
      <c r="C14" s="65" t="s">
        <v>141</v>
      </c>
      <c r="D14" s="54" t="s">
        <v>14</v>
      </c>
      <c r="E14" s="40" t="s">
        <v>40</v>
      </c>
      <c r="F14" s="30" t="s">
        <v>64</v>
      </c>
      <c r="G14" s="31" t="s">
        <v>80</v>
      </c>
      <c r="H14" s="30" t="s">
        <v>97</v>
      </c>
      <c r="I14" s="31" t="s">
        <v>167</v>
      </c>
      <c r="J14" s="30" t="s">
        <v>112</v>
      </c>
      <c r="K14" s="31" t="s">
        <v>126</v>
      </c>
      <c r="L14" s="39">
        <v>1</v>
      </c>
      <c r="M14" s="39">
        <f t="shared" si="1"/>
        <v>10</v>
      </c>
      <c r="N14" s="32">
        <v>20</v>
      </c>
      <c r="O14" s="76" t="s">
        <v>165</v>
      </c>
      <c r="P14" s="33">
        <v>2.58E-2</v>
      </c>
      <c r="Q14" s="33">
        <f t="shared" si="2"/>
        <v>0.51600000000000001</v>
      </c>
      <c r="R14" s="32"/>
    </row>
    <row r="15" spans="1:18" s="69" customFormat="1" ht="15.75" thickBot="1" x14ac:dyDescent="0.3">
      <c r="A15" s="68"/>
      <c r="B15" s="26">
        <f t="shared" si="0"/>
        <v>6</v>
      </c>
      <c r="C15" s="78" t="s">
        <v>141</v>
      </c>
      <c r="D15" s="79" t="s">
        <v>179</v>
      </c>
      <c r="E15" s="80" t="s">
        <v>41</v>
      </c>
      <c r="F15" s="39" t="s">
        <v>63</v>
      </c>
      <c r="G15" s="81" t="s">
        <v>81</v>
      </c>
      <c r="H15" s="39" t="s">
        <v>98</v>
      </c>
      <c r="I15" s="81" t="s">
        <v>167</v>
      </c>
      <c r="J15" s="39" t="s">
        <v>113</v>
      </c>
      <c r="K15" s="81" t="s">
        <v>127</v>
      </c>
      <c r="L15" s="39">
        <v>2</v>
      </c>
      <c r="M15" s="39">
        <f t="shared" si="1"/>
        <v>20</v>
      </c>
      <c r="N15" s="83">
        <v>40</v>
      </c>
      <c r="O15" s="84" t="s">
        <v>165</v>
      </c>
      <c r="P15" s="82">
        <v>2.8000000000000001E-2</v>
      </c>
      <c r="Q15" s="33">
        <f t="shared" si="2"/>
        <v>1.1200000000000001</v>
      </c>
      <c r="R15" s="83"/>
    </row>
    <row r="16" spans="1:18" s="69" customFormat="1" ht="15.75" thickBot="1" x14ac:dyDescent="0.3">
      <c r="A16" s="68"/>
      <c r="B16" s="26">
        <f>ROW(B16) - ROW($B$9)</f>
        <v>7</v>
      </c>
      <c r="C16" s="65" t="s">
        <v>141</v>
      </c>
      <c r="D16" s="54" t="s">
        <v>15</v>
      </c>
      <c r="E16" s="30" t="s">
        <v>233</v>
      </c>
      <c r="F16" s="30" t="s">
        <v>64</v>
      </c>
      <c r="G16" s="30" t="s">
        <v>234</v>
      </c>
      <c r="H16" s="30" t="s">
        <v>225</v>
      </c>
      <c r="I16" s="30" t="s">
        <v>167</v>
      </c>
      <c r="J16" s="30" t="s">
        <v>235</v>
      </c>
      <c r="K16" s="30" t="s">
        <v>125</v>
      </c>
      <c r="L16" s="30">
        <v>3</v>
      </c>
      <c r="M16" s="39">
        <f t="shared" si="1"/>
        <v>30</v>
      </c>
      <c r="N16" s="32">
        <v>40</v>
      </c>
      <c r="O16" s="76" t="s">
        <v>165</v>
      </c>
      <c r="P16" s="33">
        <v>5.1799999999999999E-2</v>
      </c>
      <c r="Q16" s="33">
        <f t="shared" si="2"/>
        <v>2.0720000000000001</v>
      </c>
      <c r="R16" s="32"/>
    </row>
    <row r="17" spans="1:19" s="100" customFormat="1" ht="15.75" thickBot="1" x14ac:dyDescent="0.3">
      <c r="A17" s="96"/>
      <c r="B17" s="97">
        <f t="shared" si="0"/>
        <v>8</v>
      </c>
      <c r="C17" s="78" t="s">
        <v>141</v>
      </c>
      <c r="D17" s="79" t="s">
        <v>16</v>
      </c>
      <c r="E17" s="39" t="s">
        <v>236</v>
      </c>
      <c r="F17" s="39" t="s">
        <v>65</v>
      </c>
      <c r="G17" s="39" t="s">
        <v>237</v>
      </c>
      <c r="H17" s="39" t="s">
        <v>96</v>
      </c>
      <c r="I17" s="39" t="s">
        <v>167</v>
      </c>
      <c r="J17" s="39" t="s">
        <v>238</v>
      </c>
      <c r="K17" s="39" t="s">
        <v>128</v>
      </c>
      <c r="L17" s="39">
        <v>3</v>
      </c>
      <c r="M17" s="39">
        <f t="shared" si="1"/>
        <v>30</v>
      </c>
      <c r="N17" s="101">
        <v>100</v>
      </c>
      <c r="O17" s="84" t="s">
        <v>165</v>
      </c>
      <c r="P17" s="82">
        <v>1.1000000000000001E-3</v>
      </c>
      <c r="Q17" s="98">
        <f t="shared" si="2"/>
        <v>0.11</v>
      </c>
      <c r="R17" s="101"/>
    </row>
    <row r="18" spans="1:19" s="69" customFormat="1" ht="15.75" thickBot="1" x14ac:dyDescent="0.3">
      <c r="A18" s="68"/>
      <c r="B18" s="26">
        <f>ROW(B18) - ROW($B$9)</f>
        <v>9</v>
      </c>
      <c r="C18" s="65" t="s">
        <v>141</v>
      </c>
      <c r="D18" s="54" t="s">
        <v>17</v>
      </c>
      <c r="E18" s="40" t="s">
        <v>42</v>
      </c>
      <c r="F18" s="30" t="s">
        <v>65</v>
      </c>
      <c r="G18" s="63">
        <v>885012205080</v>
      </c>
      <c r="H18" s="30" t="s">
        <v>100</v>
      </c>
      <c r="I18" s="31" t="s">
        <v>168</v>
      </c>
      <c r="J18" s="30" t="s">
        <v>169</v>
      </c>
      <c r="K18" s="31" t="s">
        <v>129</v>
      </c>
      <c r="L18" s="39">
        <v>3</v>
      </c>
      <c r="M18" s="39">
        <f t="shared" si="1"/>
        <v>30</v>
      </c>
      <c r="N18" s="32">
        <v>100</v>
      </c>
      <c r="O18" s="76" t="s">
        <v>165</v>
      </c>
      <c r="P18" s="33">
        <v>4.4000000000000003E-3</v>
      </c>
      <c r="Q18" s="33">
        <f t="shared" si="2"/>
        <v>0.44</v>
      </c>
      <c r="R18" s="32"/>
    </row>
    <row r="19" spans="1:19" ht="15.75" thickBot="1" x14ac:dyDescent="0.3">
      <c r="A19" s="53"/>
      <c r="B19" s="85">
        <f t="shared" ref="B19" si="3">ROW(B19) - ROW($B$9)</f>
        <v>10</v>
      </c>
      <c r="C19" s="65" t="s">
        <v>141</v>
      </c>
      <c r="D19" s="39" t="s">
        <v>213</v>
      </c>
      <c r="E19" s="39" t="s">
        <v>214</v>
      </c>
      <c r="F19" s="39" t="s">
        <v>65</v>
      </c>
      <c r="G19" s="39" t="s">
        <v>215</v>
      </c>
      <c r="H19" s="39" t="s">
        <v>96</v>
      </c>
      <c r="I19" s="39" t="s">
        <v>167</v>
      </c>
      <c r="J19" s="39" t="s">
        <v>216</v>
      </c>
      <c r="K19" s="39" t="s">
        <v>217</v>
      </c>
      <c r="L19" s="39">
        <v>2</v>
      </c>
      <c r="M19" s="39">
        <f t="shared" si="1"/>
        <v>20</v>
      </c>
      <c r="N19" s="83">
        <v>40</v>
      </c>
      <c r="O19" s="95" t="s">
        <v>165</v>
      </c>
      <c r="P19" s="82">
        <v>2.9700000000000001E-2</v>
      </c>
      <c r="Q19" s="82">
        <f t="shared" si="2"/>
        <v>1.1879999999999999</v>
      </c>
      <c r="R19" s="39"/>
      <c r="S19" s="69"/>
    </row>
    <row r="20" spans="1:19" s="100" customFormat="1" ht="15.75" thickBot="1" x14ac:dyDescent="0.3">
      <c r="A20" s="96"/>
      <c r="B20" s="97">
        <f t="shared" si="0"/>
        <v>11</v>
      </c>
      <c r="C20" s="65" t="s">
        <v>142</v>
      </c>
      <c r="D20" s="54" t="s">
        <v>180</v>
      </c>
      <c r="E20" s="40" t="s">
        <v>43</v>
      </c>
      <c r="F20" s="30" t="s">
        <v>66</v>
      </c>
      <c r="G20" s="31" t="s">
        <v>82</v>
      </c>
      <c r="H20" s="30" t="s">
        <v>101</v>
      </c>
      <c r="I20" s="31" t="s">
        <v>167</v>
      </c>
      <c r="J20" s="30" t="s">
        <v>114</v>
      </c>
      <c r="K20" s="31" t="s">
        <v>167</v>
      </c>
      <c r="L20" s="39">
        <v>3</v>
      </c>
      <c r="M20" s="39">
        <f t="shared" si="1"/>
        <v>30</v>
      </c>
      <c r="N20" s="99">
        <v>40</v>
      </c>
      <c r="O20" s="76" t="s">
        <v>165</v>
      </c>
      <c r="P20" s="33">
        <v>2.12E-2</v>
      </c>
      <c r="Q20" s="98">
        <f t="shared" si="2"/>
        <v>0.84799999999999998</v>
      </c>
      <c r="R20" s="99"/>
    </row>
    <row r="21" spans="1:19" s="69" customFormat="1" ht="15.75" thickBot="1" x14ac:dyDescent="0.3">
      <c r="A21" s="68"/>
      <c r="B21" s="26">
        <f t="shared" si="0"/>
        <v>12</v>
      </c>
      <c r="C21" s="78" t="s">
        <v>143</v>
      </c>
      <c r="D21" s="79" t="s">
        <v>18</v>
      </c>
      <c r="E21" s="80" t="s">
        <v>44</v>
      </c>
      <c r="F21" s="93" t="s">
        <v>246</v>
      </c>
      <c r="G21" s="81" t="s">
        <v>194</v>
      </c>
      <c r="H21" s="39" t="s">
        <v>196</v>
      </c>
      <c r="I21" s="81" t="s">
        <v>167</v>
      </c>
      <c r="J21" s="39" t="s">
        <v>197</v>
      </c>
      <c r="K21" s="81" t="s">
        <v>167</v>
      </c>
      <c r="L21" s="39">
        <v>1</v>
      </c>
      <c r="M21" s="39">
        <f t="shared" si="1"/>
        <v>10</v>
      </c>
      <c r="N21" s="83">
        <v>20</v>
      </c>
      <c r="O21" s="84" t="s">
        <v>165</v>
      </c>
      <c r="P21" s="82">
        <v>4.19E-2</v>
      </c>
      <c r="Q21" s="33">
        <f t="shared" si="2"/>
        <v>0.83799999999999997</v>
      </c>
      <c r="R21" s="83"/>
    </row>
    <row r="22" spans="1:19" s="69" customFormat="1" ht="15.75" thickBot="1" x14ac:dyDescent="0.3">
      <c r="A22" s="68"/>
      <c r="B22" s="26">
        <f t="shared" si="0"/>
        <v>13</v>
      </c>
      <c r="C22" s="65" t="s">
        <v>143</v>
      </c>
      <c r="D22" s="54" t="s">
        <v>19</v>
      </c>
      <c r="E22" s="40" t="s">
        <v>45</v>
      </c>
      <c r="F22" s="109" t="s">
        <v>247</v>
      </c>
      <c r="G22" s="31" t="s">
        <v>195</v>
      </c>
      <c r="H22" s="30" t="s">
        <v>196</v>
      </c>
      <c r="I22" s="31" t="s">
        <v>167</v>
      </c>
      <c r="J22" s="30" t="s">
        <v>198</v>
      </c>
      <c r="K22" s="31" t="s">
        <v>167</v>
      </c>
      <c r="L22" s="39">
        <v>1</v>
      </c>
      <c r="M22" s="39">
        <f t="shared" si="1"/>
        <v>10</v>
      </c>
      <c r="N22" s="32">
        <v>20</v>
      </c>
      <c r="O22" s="76" t="s">
        <v>165</v>
      </c>
      <c r="P22" s="33">
        <v>2.4E-2</v>
      </c>
      <c r="Q22" s="33">
        <f t="shared" si="2"/>
        <v>0.48</v>
      </c>
      <c r="R22" s="32"/>
    </row>
    <row r="23" spans="1:19" s="69" customFormat="1" ht="36.75" thickBot="1" x14ac:dyDescent="0.3">
      <c r="A23" s="68"/>
      <c r="B23" s="26">
        <f t="shared" si="0"/>
        <v>14</v>
      </c>
      <c r="C23" s="78" t="s">
        <v>7</v>
      </c>
      <c r="D23" s="79" t="s">
        <v>20</v>
      </c>
      <c r="E23" s="80" t="s">
        <v>46</v>
      </c>
      <c r="F23" s="39" t="s">
        <v>248</v>
      </c>
      <c r="G23" s="81" t="s">
        <v>67</v>
      </c>
      <c r="H23" s="39" t="s">
        <v>99</v>
      </c>
      <c r="I23" s="81" t="s">
        <v>167</v>
      </c>
      <c r="J23" s="39" t="s">
        <v>115</v>
      </c>
      <c r="K23" s="81" t="s">
        <v>130</v>
      </c>
      <c r="L23" s="39">
        <v>1</v>
      </c>
      <c r="M23" s="39">
        <f t="shared" si="1"/>
        <v>10</v>
      </c>
      <c r="N23" s="83">
        <v>15</v>
      </c>
      <c r="O23" s="84" t="s">
        <v>165</v>
      </c>
      <c r="P23" s="82">
        <v>0.28549999999999998</v>
      </c>
      <c r="Q23" s="33">
        <f t="shared" si="2"/>
        <v>4.2824999999999998</v>
      </c>
      <c r="R23" s="83"/>
    </row>
    <row r="24" spans="1:19" s="69" customFormat="1" ht="24.75" thickBot="1" x14ac:dyDescent="0.3">
      <c r="A24" s="68"/>
      <c r="B24" s="26">
        <f t="shared" si="0"/>
        <v>15</v>
      </c>
      <c r="C24" s="65" t="s">
        <v>144</v>
      </c>
      <c r="D24" s="54" t="s">
        <v>21</v>
      </c>
      <c r="E24" s="40" t="s">
        <v>47</v>
      </c>
      <c r="F24" s="30" t="s">
        <v>68</v>
      </c>
      <c r="G24" s="31" t="s">
        <v>83</v>
      </c>
      <c r="H24" s="30" t="s">
        <v>102</v>
      </c>
      <c r="I24" s="31" t="s">
        <v>167</v>
      </c>
      <c r="J24" s="30" t="s">
        <v>116</v>
      </c>
      <c r="K24" s="31" t="s">
        <v>131</v>
      </c>
      <c r="L24" s="39">
        <v>2</v>
      </c>
      <c r="M24" s="39">
        <f t="shared" si="1"/>
        <v>20</v>
      </c>
      <c r="N24" s="32">
        <v>30</v>
      </c>
      <c r="O24" s="76" t="s">
        <v>165</v>
      </c>
      <c r="P24" s="33">
        <v>6.3899999999999998E-2</v>
      </c>
      <c r="Q24" s="33">
        <f t="shared" si="2"/>
        <v>1.917</v>
      </c>
      <c r="R24" s="32"/>
    </row>
    <row r="25" spans="1:19" s="69" customFormat="1" ht="24.75" thickBot="1" x14ac:dyDescent="0.3">
      <c r="A25" s="68"/>
      <c r="B25" s="26">
        <f t="shared" si="0"/>
        <v>16</v>
      </c>
      <c r="C25" s="87" t="s">
        <v>145</v>
      </c>
      <c r="D25" s="88" t="s">
        <v>22</v>
      </c>
      <c r="E25" s="89" t="s">
        <v>166</v>
      </c>
      <c r="F25" s="90" t="s">
        <v>248</v>
      </c>
      <c r="G25" s="88" t="s">
        <v>167</v>
      </c>
      <c r="H25" s="90" t="s">
        <v>167</v>
      </c>
      <c r="I25" s="88"/>
      <c r="J25" s="90" t="s">
        <v>167</v>
      </c>
      <c r="K25" s="88"/>
      <c r="L25" s="90">
        <v>5</v>
      </c>
      <c r="M25" s="39">
        <f t="shared" si="1"/>
        <v>50</v>
      </c>
      <c r="N25" s="92" t="s">
        <v>167</v>
      </c>
      <c r="O25" s="108" t="s">
        <v>167</v>
      </c>
      <c r="P25" s="91" t="s">
        <v>167</v>
      </c>
      <c r="Q25" s="33" t="s">
        <v>167</v>
      </c>
      <c r="R25" s="92"/>
    </row>
    <row r="26" spans="1:19" s="69" customFormat="1" ht="15.75" thickBot="1" x14ac:dyDescent="0.3">
      <c r="A26" s="68"/>
      <c r="B26" s="26">
        <f t="shared" si="0"/>
        <v>17</v>
      </c>
      <c r="C26" s="65" t="s">
        <v>143</v>
      </c>
      <c r="D26" s="54" t="s">
        <v>23</v>
      </c>
      <c r="E26" s="40" t="s">
        <v>48</v>
      </c>
      <c r="F26" s="30" t="s">
        <v>69</v>
      </c>
      <c r="G26" s="63">
        <v>61300611121</v>
      </c>
      <c r="H26" s="30" t="s">
        <v>100</v>
      </c>
      <c r="I26" s="31" t="s">
        <v>208</v>
      </c>
      <c r="J26" s="30" t="s">
        <v>209</v>
      </c>
      <c r="K26" s="31" t="s">
        <v>167</v>
      </c>
      <c r="L26" s="39">
        <v>1</v>
      </c>
      <c r="M26" s="39">
        <f t="shared" si="1"/>
        <v>10</v>
      </c>
      <c r="N26" s="32">
        <v>20</v>
      </c>
      <c r="O26" s="76" t="s">
        <v>165</v>
      </c>
      <c r="P26" s="33">
        <v>3.0800000000000001E-2</v>
      </c>
      <c r="Q26" s="33">
        <f t="shared" si="2"/>
        <v>0.61599999999999999</v>
      </c>
      <c r="R26" s="32"/>
    </row>
    <row r="27" spans="1:19" s="69" customFormat="1" ht="24.75" thickBot="1" x14ac:dyDescent="0.3">
      <c r="A27" s="68"/>
      <c r="B27" s="26">
        <f t="shared" si="0"/>
        <v>18</v>
      </c>
      <c r="C27" s="87" t="s">
        <v>146</v>
      </c>
      <c r="D27" s="88" t="s">
        <v>24</v>
      </c>
      <c r="E27" s="89" t="s">
        <v>49</v>
      </c>
      <c r="F27" s="90" t="s">
        <v>248</v>
      </c>
      <c r="G27" s="88" t="s">
        <v>167</v>
      </c>
      <c r="H27" s="90" t="s">
        <v>167</v>
      </c>
      <c r="I27" s="88" t="s">
        <v>167</v>
      </c>
      <c r="J27" s="90" t="s">
        <v>167</v>
      </c>
      <c r="K27" s="88"/>
      <c r="L27" s="90">
        <v>10</v>
      </c>
      <c r="M27" s="39">
        <f t="shared" si="1"/>
        <v>100</v>
      </c>
      <c r="N27" s="92" t="s">
        <v>167</v>
      </c>
      <c r="O27" s="108" t="s">
        <v>167</v>
      </c>
      <c r="P27" s="91" t="s">
        <v>167</v>
      </c>
      <c r="Q27" s="33" t="s">
        <v>167</v>
      </c>
      <c r="R27" s="92"/>
    </row>
    <row r="28" spans="1:19" s="69" customFormat="1" ht="15.75" thickBot="1" x14ac:dyDescent="0.3">
      <c r="A28" s="68"/>
      <c r="B28" s="26">
        <f t="shared" si="0"/>
        <v>19</v>
      </c>
      <c r="C28" s="65" t="s">
        <v>143</v>
      </c>
      <c r="D28" s="54" t="s">
        <v>25</v>
      </c>
      <c r="E28" s="40" t="s">
        <v>50</v>
      </c>
      <c r="F28" s="30" t="s">
        <v>70</v>
      </c>
      <c r="G28" s="63">
        <v>61300211121</v>
      </c>
      <c r="H28" s="30" t="s">
        <v>100</v>
      </c>
      <c r="I28" s="31" t="s">
        <v>170</v>
      </c>
      <c r="J28" s="30" t="s">
        <v>171</v>
      </c>
      <c r="K28" s="31" t="s">
        <v>167</v>
      </c>
      <c r="L28" s="39">
        <v>1</v>
      </c>
      <c r="M28" s="39">
        <f t="shared" si="1"/>
        <v>10</v>
      </c>
      <c r="N28" s="32">
        <v>50</v>
      </c>
      <c r="O28" s="76" t="s">
        <v>165</v>
      </c>
      <c r="P28" s="33">
        <v>1.37E-2</v>
      </c>
      <c r="Q28" s="33">
        <f t="shared" si="2"/>
        <v>0.68500000000000005</v>
      </c>
      <c r="R28" s="32"/>
    </row>
    <row r="29" spans="1:19" s="69" customFormat="1" ht="15.75" thickBot="1" x14ac:dyDescent="0.3">
      <c r="A29" s="68"/>
      <c r="B29" s="26">
        <f t="shared" si="0"/>
        <v>20</v>
      </c>
      <c r="C29" s="78" t="s">
        <v>8</v>
      </c>
      <c r="D29" s="79" t="s">
        <v>26</v>
      </c>
      <c r="E29" s="39" t="s">
        <v>241</v>
      </c>
      <c r="F29" s="39" t="s">
        <v>242</v>
      </c>
      <c r="G29" s="39" t="s">
        <v>239</v>
      </c>
      <c r="H29" s="39" t="s">
        <v>240</v>
      </c>
      <c r="I29" s="81" t="s">
        <v>167</v>
      </c>
      <c r="J29" s="39" t="s">
        <v>191</v>
      </c>
      <c r="K29" s="81" t="s">
        <v>167</v>
      </c>
      <c r="L29" s="39">
        <v>6</v>
      </c>
      <c r="M29" s="39">
        <f t="shared" si="1"/>
        <v>60</v>
      </c>
      <c r="N29" s="83">
        <v>62</v>
      </c>
      <c r="O29" s="84" t="s">
        <v>165</v>
      </c>
      <c r="P29" s="82">
        <v>0.59509999999999996</v>
      </c>
      <c r="Q29" s="33">
        <f t="shared" si="2"/>
        <v>36.8962</v>
      </c>
      <c r="R29" s="83"/>
    </row>
    <row r="30" spans="1:19" s="69" customFormat="1" ht="15.75" thickBot="1" x14ac:dyDescent="0.3">
      <c r="A30" s="68"/>
      <c r="B30" s="26">
        <f t="shared" si="0"/>
        <v>21</v>
      </c>
      <c r="C30" s="65" t="s">
        <v>9</v>
      </c>
      <c r="D30" s="54" t="s">
        <v>219</v>
      </c>
      <c r="E30" s="40" t="s">
        <v>52</v>
      </c>
      <c r="F30" s="30" t="s">
        <v>73</v>
      </c>
      <c r="G30" s="63" t="s">
        <v>85</v>
      </c>
      <c r="H30" s="30" t="s">
        <v>103</v>
      </c>
      <c r="I30" s="31" t="s">
        <v>172</v>
      </c>
      <c r="J30" s="30" t="s">
        <v>173</v>
      </c>
      <c r="K30" s="31" t="s">
        <v>134</v>
      </c>
      <c r="L30" s="39">
        <v>1</v>
      </c>
      <c r="M30" s="39">
        <f t="shared" si="1"/>
        <v>10</v>
      </c>
      <c r="N30" s="32">
        <v>100</v>
      </c>
      <c r="O30" s="76" t="s">
        <v>165</v>
      </c>
      <c r="P30" s="33">
        <v>1.6000000000000001E-3</v>
      </c>
      <c r="Q30" s="33">
        <f t="shared" si="2"/>
        <v>0.16</v>
      </c>
      <c r="R30" s="32"/>
    </row>
    <row r="31" spans="1:19" s="69" customFormat="1" ht="15.75" thickBot="1" x14ac:dyDescent="0.3">
      <c r="A31" s="68"/>
      <c r="B31" s="26">
        <f t="shared" si="0"/>
        <v>22</v>
      </c>
      <c r="C31" s="78" t="s">
        <v>9</v>
      </c>
      <c r="D31" s="79" t="s">
        <v>181</v>
      </c>
      <c r="E31" s="80" t="s">
        <v>57</v>
      </c>
      <c r="F31" s="39" t="s">
        <v>71</v>
      </c>
      <c r="G31" s="81" t="s">
        <v>90</v>
      </c>
      <c r="H31" s="39" t="s">
        <v>96</v>
      </c>
      <c r="I31" s="81"/>
      <c r="J31" s="39" t="s">
        <v>119</v>
      </c>
      <c r="K31" s="81" t="s">
        <v>139</v>
      </c>
      <c r="L31" s="39">
        <v>1</v>
      </c>
      <c r="M31" s="39">
        <f t="shared" si="1"/>
        <v>10</v>
      </c>
      <c r="N31" s="83">
        <v>100</v>
      </c>
      <c r="O31" s="84" t="s">
        <v>165</v>
      </c>
      <c r="P31" s="82">
        <v>1.1999999999999999E-3</v>
      </c>
      <c r="Q31" s="33">
        <f t="shared" si="2"/>
        <v>0.12</v>
      </c>
      <c r="R31" s="83"/>
    </row>
    <row r="32" spans="1:19" s="69" customFormat="1" ht="15.75" thickBot="1" x14ac:dyDescent="0.3">
      <c r="A32" s="68"/>
      <c r="B32" s="26">
        <f t="shared" si="0"/>
        <v>23</v>
      </c>
      <c r="C32" s="65" t="s">
        <v>9</v>
      </c>
      <c r="D32" s="54" t="s">
        <v>27</v>
      </c>
      <c r="E32" s="40" t="s">
        <v>51</v>
      </c>
      <c r="F32" s="30" t="s">
        <v>72</v>
      </c>
      <c r="G32" s="31" t="s">
        <v>84</v>
      </c>
      <c r="H32" s="30" t="s">
        <v>96</v>
      </c>
      <c r="I32" s="31" t="s">
        <v>167</v>
      </c>
      <c r="J32" s="30" t="s">
        <v>192</v>
      </c>
      <c r="K32" s="31" t="s">
        <v>132</v>
      </c>
      <c r="L32" s="39">
        <v>3</v>
      </c>
      <c r="M32" s="39">
        <f t="shared" si="1"/>
        <v>30</v>
      </c>
      <c r="N32" s="32">
        <v>100</v>
      </c>
      <c r="O32" s="76" t="s">
        <v>165</v>
      </c>
      <c r="P32" s="33">
        <v>1E-3</v>
      </c>
      <c r="Q32" s="33">
        <f t="shared" si="2"/>
        <v>0.1</v>
      </c>
      <c r="R32" s="32"/>
    </row>
    <row r="33" spans="1:19" s="69" customFormat="1" ht="15.75" thickBot="1" x14ac:dyDescent="0.3">
      <c r="A33" s="68"/>
      <c r="B33" s="26">
        <f t="shared" si="0"/>
        <v>24</v>
      </c>
      <c r="C33" s="78" t="s">
        <v>9</v>
      </c>
      <c r="D33" s="79" t="s">
        <v>28</v>
      </c>
      <c r="E33" s="39" t="s">
        <v>243</v>
      </c>
      <c r="F33" s="39" t="s">
        <v>72</v>
      </c>
      <c r="G33" s="39" t="s">
        <v>244</v>
      </c>
      <c r="H33" s="39" t="s">
        <v>96</v>
      </c>
      <c r="I33" s="39"/>
      <c r="J33" s="39" t="s">
        <v>245</v>
      </c>
      <c r="K33" s="39" t="s">
        <v>133</v>
      </c>
      <c r="L33" s="39">
        <v>6</v>
      </c>
      <c r="M33" s="39">
        <f t="shared" si="1"/>
        <v>60</v>
      </c>
      <c r="N33" s="83">
        <v>100</v>
      </c>
      <c r="O33" s="84" t="s">
        <v>165</v>
      </c>
      <c r="P33" s="82">
        <v>6.9999999999999999E-4</v>
      </c>
      <c r="Q33" s="33">
        <f t="shared" si="2"/>
        <v>6.9999999999999993E-2</v>
      </c>
      <c r="R33" s="83"/>
    </row>
    <row r="34" spans="1:19" ht="15.75" thickBot="1" x14ac:dyDescent="0.3">
      <c r="A34" s="53"/>
      <c r="B34" s="106">
        <f>ROW(B34) - ROW($B$9)</f>
        <v>25</v>
      </c>
      <c r="C34" s="78" t="s">
        <v>9</v>
      </c>
      <c r="D34" s="30" t="s">
        <v>218</v>
      </c>
      <c r="E34" s="30" t="s">
        <v>220</v>
      </c>
      <c r="F34" s="30" t="s">
        <v>72</v>
      </c>
      <c r="G34" s="30" t="s">
        <v>221</v>
      </c>
      <c r="H34" s="30" t="s">
        <v>96</v>
      </c>
      <c r="I34" s="30" t="s">
        <v>167</v>
      </c>
      <c r="J34" s="30" t="s">
        <v>222</v>
      </c>
      <c r="K34" s="30" t="s">
        <v>134</v>
      </c>
      <c r="L34" s="30">
        <v>3</v>
      </c>
      <c r="M34" s="30">
        <f>L34*5</f>
        <v>15</v>
      </c>
      <c r="N34" s="30">
        <v>100</v>
      </c>
      <c r="O34" s="107" t="s">
        <v>165</v>
      </c>
      <c r="P34" s="33">
        <v>5.9999999999999995E-4</v>
      </c>
      <c r="Q34" s="33">
        <f>P34*N34</f>
        <v>0.06</v>
      </c>
      <c r="R34" s="30"/>
      <c r="S34" s="69"/>
    </row>
    <row r="35" spans="1:19" s="69" customFormat="1" ht="15.75" thickBot="1" x14ac:dyDescent="0.3">
      <c r="A35" s="68"/>
      <c r="B35" s="26">
        <f t="shared" si="0"/>
        <v>26</v>
      </c>
      <c r="C35" s="65" t="s">
        <v>9</v>
      </c>
      <c r="D35" s="54" t="s">
        <v>29</v>
      </c>
      <c r="E35" s="40" t="s">
        <v>53</v>
      </c>
      <c r="F35" s="30" t="s">
        <v>71</v>
      </c>
      <c r="G35" s="31" t="s">
        <v>86</v>
      </c>
      <c r="H35" s="30" t="s">
        <v>104</v>
      </c>
      <c r="I35" s="31" t="s">
        <v>167</v>
      </c>
      <c r="J35" s="30" t="s">
        <v>117</v>
      </c>
      <c r="K35" s="31" t="s">
        <v>135</v>
      </c>
      <c r="L35" s="39">
        <v>3</v>
      </c>
      <c r="M35" s="39">
        <f t="shared" si="1"/>
        <v>30</v>
      </c>
      <c r="N35" s="32">
        <v>40</v>
      </c>
      <c r="O35" s="76" t="s">
        <v>165</v>
      </c>
      <c r="P35" s="33">
        <v>3.2399999999999998E-2</v>
      </c>
      <c r="Q35" s="33">
        <f t="shared" si="2"/>
        <v>1.2959999999999998</v>
      </c>
      <c r="R35" s="32"/>
    </row>
    <row r="36" spans="1:19" s="69" customFormat="1" ht="24.75" thickBot="1" x14ac:dyDescent="0.3">
      <c r="A36" s="68"/>
      <c r="B36" s="26">
        <f>ROW(B36) - ROW($B$9)</f>
        <v>27</v>
      </c>
      <c r="C36" s="78" t="s">
        <v>9</v>
      </c>
      <c r="D36" s="93" t="s">
        <v>30</v>
      </c>
      <c r="E36" s="39" t="s">
        <v>203</v>
      </c>
      <c r="F36" s="39" t="s">
        <v>204</v>
      </c>
      <c r="G36" s="39" t="s">
        <v>205</v>
      </c>
      <c r="H36" s="39" t="s">
        <v>96</v>
      </c>
      <c r="I36" s="39" t="s">
        <v>167</v>
      </c>
      <c r="J36" s="39" t="s">
        <v>206</v>
      </c>
      <c r="K36" s="39" t="s">
        <v>207</v>
      </c>
      <c r="L36" s="39">
        <v>3</v>
      </c>
      <c r="M36" s="39">
        <f t="shared" si="1"/>
        <v>30</v>
      </c>
      <c r="N36" s="83">
        <v>35</v>
      </c>
      <c r="O36" s="84" t="s">
        <v>165</v>
      </c>
      <c r="P36" s="82">
        <v>0.21129999999999999</v>
      </c>
      <c r="Q36" s="33">
        <f t="shared" si="2"/>
        <v>7.3954999999999993</v>
      </c>
      <c r="R36" s="83"/>
    </row>
    <row r="37" spans="1:19" s="69" customFormat="1" ht="15.75" thickBot="1" x14ac:dyDescent="0.3">
      <c r="A37" s="68"/>
      <c r="B37" s="26">
        <f t="shared" si="0"/>
        <v>28</v>
      </c>
      <c r="C37" s="65" t="s">
        <v>9</v>
      </c>
      <c r="D37" s="54" t="s">
        <v>31</v>
      </c>
      <c r="E37" s="40" t="s">
        <v>54</v>
      </c>
      <c r="F37" s="30" t="s">
        <v>71</v>
      </c>
      <c r="G37" s="31" t="s">
        <v>87</v>
      </c>
      <c r="H37" s="30" t="s">
        <v>96</v>
      </c>
      <c r="I37" s="31"/>
      <c r="J37" s="30" t="s">
        <v>193</v>
      </c>
      <c r="K37" s="31" t="s">
        <v>136</v>
      </c>
      <c r="L37" s="39">
        <v>1</v>
      </c>
      <c r="M37" s="39">
        <f t="shared" si="1"/>
        <v>10</v>
      </c>
      <c r="N37" s="32">
        <v>100</v>
      </c>
      <c r="O37" s="76" t="s">
        <v>165</v>
      </c>
      <c r="P37" s="33">
        <v>1.1999999999999999E-3</v>
      </c>
      <c r="Q37" s="33">
        <f t="shared" si="2"/>
        <v>0.12</v>
      </c>
      <c r="R37" s="32"/>
    </row>
    <row r="38" spans="1:19" s="69" customFormat="1" ht="15.75" thickBot="1" x14ac:dyDescent="0.3">
      <c r="A38" s="68"/>
      <c r="B38" s="26">
        <f>ROW(B38) - ROW($B$9)</f>
        <v>29</v>
      </c>
      <c r="C38" s="78" t="s">
        <v>9</v>
      </c>
      <c r="D38" s="79" t="s">
        <v>32</v>
      </c>
      <c r="E38" s="80" t="s">
        <v>55</v>
      </c>
      <c r="F38" s="39" t="s">
        <v>74</v>
      </c>
      <c r="G38" s="88" t="s">
        <v>88</v>
      </c>
      <c r="H38" s="39" t="s">
        <v>105</v>
      </c>
      <c r="I38" s="81" t="s">
        <v>174</v>
      </c>
      <c r="J38" s="39" t="s">
        <v>175</v>
      </c>
      <c r="K38" s="81" t="s">
        <v>137</v>
      </c>
      <c r="L38" s="39">
        <v>1</v>
      </c>
      <c r="M38" s="39">
        <f t="shared" si="1"/>
        <v>10</v>
      </c>
      <c r="N38" s="83">
        <v>100</v>
      </c>
      <c r="O38" s="84" t="s">
        <v>165</v>
      </c>
      <c r="P38" s="82">
        <v>5.9999999999999995E-4</v>
      </c>
      <c r="Q38" s="33">
        <f t="shared" si="2"/>
        <v>0.06</v>
      </c>
      <c r="R38" s="83"/>
    </row>
    <row r="39" spans="1:19" s="69" customFormat="1" ht="36.75" thickBot="1" x14ac:dyDescent="0.3">
      <c r="A39" s="68"/>
      <c r="B39" s="26">
        <f t="shared" si="0"/>
        <v>30</v>
      </c>
      <c r="C39" s="65" t="s">
        <v>9</v>
      </c>
      <c r="D39" s="54" t="s">
        <v>33</v>
      </c>
      <c r="E39" s="40" t="s">
        <v>56</v>
      </c>
      <c r="F39" s="30" t="s">
        <v>75</v>
      </c>
      <c r="G39" s="31" t="s">
        <v>89</v>
      </c>
      <c r="H39" s="30" t="s">
        <v>106</v>
      </c>
      <c r="I39" s="31" t="s">
        <v>167</v>
      </c>
      <c r="J39" s="30" t="s">
        <v>118</v>
      </c>
      <c r="K39" s="31" t="s">
        <v>138</v>
      </c>
      <c r="L39" s="39">
        <v>1</v>
      </c>
      <c r="M39" s="39">
        <f t="shared" si="1"/>
        <v>10</v>
      </c>
      <c r="N39" s="32">
        <v>20</v>
      </c>
      <c r="O39" s="76" t="s">
        <v>165</v>
      </c>
      <c r="P39" s="33">
        <v>4.7500000000000001E-2</v>
      </c>
      <c r="Q39" s="33">
        <f t="shared" si="2"/>
        <v>0.95</v>
      </c>
      <c r="R39" s="32" t="s">
        <v>201</v>
      </c>
    </row>
    <row r="40" spans="1:19" s="69" customFormat="1" ht="15.75" thickBot="1" x14ac:dyDescent="0.3">
      <c r="A40" s="68"/>
      <c r="B40" s="26">
        <f t="shared" si="0"/>
        <v>31</v>
      </c>
      <c r="C40" s="78" t="s">
        <v>9</v>
      </c>
      <c r="D40" s="79" t="s">
        <v>186</v>
      </c>
      <c r="E40" s="80" t="s">
        <v>187</v>
      </c>
      <c r="F40" s="39" t="s">
        <v>71</v>
      </c>
      <c r="G40" s="81" t="s">
        <v>188</v>
      </c>
      <c r="H40" s="39" t="s">
        <v>96</v>
      </c>
      <c r="I40" s="81" t="s">
        <v>167</v>
      </c>
      <c r="J40" s="39" t="s">
        <v>190</v>
      </c>
      <c r="K40" s="81" t="s">
        <v>189</v>
      </c>
      <c r="L40" s="39">
        <v>1</v>
      </c>
      <c r="M40" s="39">
        <f t="shared" si="1"/>
        <v>10</v>
      </c>
      <c r="N40" s="83">
        <v>100</v>
      </c>
      <c r="O40" s="84" t="s">
        <v>165</v>
      </c>
      <c r="P40" s="82">
        <v>1.1000000000000001E-3</v>
      </c>
      <c r="Q40" s="33">
        <f t="shared" si="2"/>
        <v>0.11</v>
      </c>
      <c r="R40" s="83"/>
    </row>
    <row r="41" spans="1:19" s="69" customFormat="1" ht="36.75" thickBot="1" x14ac:dyDescent="0.3">
      <c r="A41" s="68"/>
      <c r="B41" s="26">
        <f t="shared" si="0"/>
        <v>32</v>
      </c>
      <c r="C41" s="65" t="s">
        <v>147</v>
      </c>
      <c r="D41" s="54" t="s">
        <v>34</v>
      </c>
      <c r="E41" s="40" t="s">
        <v>58</v>
      </c>
      <c r="F41" s="30" t="s">
        <v>248</v>
      </c>
      <c r="G41" s="31" t="s">
        <v>91</v>
      </c>
      <c r="H41" s="30" t="s">
        <v>107</v>
      </c>
      <c r="I41" s="31" t="s">
        <v>167</v>
      </c>
      <c r="J41" s="30" t="s">
        <v>120</v>
      </c>
      <c r="K41" s="31" t="s">
        <v>167</v>
      </c>
      <c r="L41" s="39">
        <v>1</v>
      </c>
      <c r="M41" s="39">
        <f t="shared" si="1"/>
        <v>10</v>
      </c>
      <c r="N41" s="32">
        <v>20</v>
      </c>
      <c r="O41" s="76" t="s">
        <v>165</v>
      </c>
      <c r="P41" s="33">
        <v>5.7599999999999998E-2</v>
      </c>
      <c r="Q41" s="33">
        <f t="shared" si="2"/>
        <v>1.1519999999999999</v>
      </c>
      <c r="R41" s="32"/>
    </row>
    <row r="42" spans="1:19" s="69" customFormat="1" ht="24.75" thickBot="1" x14ac:dyDescent="0.3">
      <c r="A42" s="68"/>
      <c r="B42" s="26">
        <f t="shared" si="0"/>
        <v>33</v>
      </c>
      <c r="C42" s="78" t="s">
        <v>10</v>
      </c>
      <c r="D42" s="79" t="s">
        <v>35</v>
      </c>
      <c r="E42" s="80" t="s">
        <v>59</v>
      </c>
      <c r="F42" s="39" t="s">
        <v>76</v>
      </c>
      <c r="G42" s="81" t="s">
        <v>92</v>
      </c>
      <c r="H42" s="39" t="s">
        <v>108</v>
      </c>
      <c r="I42" s="81" t="s">
        <v>167</v>
      </c>
      <c r="J42" s="39" t="s">
        <v>167</v>
      </c>
      <c r="K42" s="81" t="s">
        <v>167</v>
      </c>
      <c r="L42" s="39">
        <v>1</v>
      </c>
      <c r="M42" s="39">
        <f t="shared" si="1"/>
        <v>10</v>
      </c>
      <c r="N42" s="83">
        <v>11</v>
      </c>
      <c r="O42" s="84" t="s">
        <v>199</v>
      </c>
      <c r="P42" s="82">
        <v>6.5</v>
      </c>
      <c r="Q42" s="33">
        <f t="shared" si="2"/>
        <v>71.5</v>
      </c>
      <c r="R42" s="94" t="s">
        <v>200</v>
      </c>
    </row>
    <row r="43" spans="1:19" s="69" customFormat="1" ht="36.75" thickBot="1" x14ac:dyDescent="0.3">
      <c r="A43" s="70"/>
      <c r="B43" s="26">
        <f t="shared" si="0"/>
        <v>34</v>
      </c>
      <c r="C43" s="65" t="s">
        <v>10</v>
      </c>
      <c r="D43" s="54" t="s">
        <v>36</v>
      </c>
      <c r="E43" s="40" t="s">
        <v>182</v>
      </c>
      <c r="F43" s="30" t="s">
        <v>183</v>
      </c>
      <c r="G43" s="31" t="s">
        <v>184</v>
      </c>
      <c r="H43" s="30" t="s">
        <v>185</v>
      </c>
      <c r="I43" s="31" t="s">
        <v>167</v>
      </c>
      <c r="J43" s="30" t="s">
        <v>167</v>
      </c>
      <c r="K43" s="31" t="s">
        <v>167</v>
      </c>
      <c r="L43" s="39">
        <v>1</v>
      </c>
      <c r="M43" s="39">
        <f t="shared" si="1"/>
        <v>10</v>
      </c>
      <c r="N43" s="32">
        <v>11</v>
      </c>
      <c r="O43" s="76" t="s">
        <v>199</v>
      </c>
      <c r="P43" s="33">
        <v>6.5</v>
      </c>
      <c r="Q43" s="33">
        <f t="shared" si="2"/>
        <v>71.5</v>
      </c>
      <c r="R43" s="64" t="s">
        <v>200</v>
      </c>
    </row>
    <row r="44" spans="1:19" s="69" customFormat="1" ht="15.75" thickBot="1" x14ac:dyDescent="0.3">
      <c r="A44" s="68"/>
      <c r="B44" s="26">
        <f t="shared" si="0"/>
        <v>35</v>
      </c>
      <c r="C44" s="78" t="s">
        <v>10</v>
      </c>
      <c r="D44" s="79" t="s">
        <v>37</v>
      </c>
      <c r="E44" s="80" t="s">
        <v>60</v>
      </c>
      <c r="F44" s="39" t="s">
        <v>77</v>
      </c>
      <c r="G44" s="81" t="s">
        <v>93</v>
      </c>
      <c r="H44" s="39" t="s">
        <v>109</v>
      </c>
      <c r="I44" s="81" t="s">
        <v>167</v>
      </c>
      <c r="J44" s="39" t="s">
        <v>176</v>
      </c>
      <c r="K44" s="81" t="s">
        <v>167</v>
      </c>
      <c r="L44" s="39">
        <v>1</v>
      </c>
      <c r="M44" s="39">
        <f t="shared" si="1"/>
        <v>10</v>
      </c>
      <c r="N44" s="83">
        <v>11</v>
      </c>
      <c r="O44" s="84" t="s">
        <v>165</v>
      </c>
      <c r="P44" s="82">
        <v>1.1900999999999999</v>
      </c>
      <c r="Q44" s="33">
        <f t="shared" si="2"/>
        <v>13.091099999999999</v>
      </c>
      <c r="R44" s="83"/>
    </row>
    <row r="45" spans="1:19" s="69" customFormat="1" ht="24.75" thickBot="1" x14ac:dyDescent="0.3">
      <c r="A45" s="68"/>
      <c r="B45" s="71">
        <f t="shared" si="0"/>
        <v>36</v>
      </c>
      <c r="C45" s="65" t="s">
        <v>10</v>
      </c>
      <c r="D45" s="54" t="s">
        <v>38</v>
      </c>
      <c r="E45" s="40" t="s">
        <v>61</v>
      </c>
      <c r="F45" s="30" t="s">
        <v>78</v>
      </c>
      <c r="G45" s="31" t="s">
        <v>94</v>
      </c>
      <c r="H45" s="30" t="s">
        <v>110</v>
      </c>
      <c r="I45" s="31" t="s">
        <v>167</v>
      </c>
      <c r="J45" s="30" t="s">
        <v>121</v>
      </c>
      <c r="K45" s="31" t="s">
        <v>167</v>
      </c>
      <c r="L45" s="105">
        <v>1</v>
      </c>
      <c r="M45" s="105">
        <f t="shared" si="1"/>
        <v>10</v>
      </c>
      <c r="N45" s="72">
        <v>15</v>
      </c>
      <c r="O45" s="77" t="s">
        <v>165</v>
      </c>
      <c r="P45" s="33">
        <v>7.6300000000000007E-2</v>
      </c>
      <c r="Q45" s="33">
        <f t="shared" si="2"/>
        <v>1.1445000000000001</v>
      </c>
      <c r="R45" s="72"/>
    </row>
    <row r="46" spans="1:19" ht="16.5" thickBot="1" x14ac:dyDescent="0.3">
      <c r="A46" s="1"/>
      <c r="B46" s="22"/>
      <c r="C46" s="28"/>
      <c r="D46" s="23"/>
      <c r="E46" s="41"/>
      <c r="F46" s="24"/>
      <c r="G46" s="25"/>
      <c r="H46" s="24"/>
      <c r="I46" s="25"/>
      <c r="J46" s="24"/>
      <c r="K46" s="25"/>
      <c r="L46" s="25"/>
      <c r="M46" s="103"/>
      <c r="N46" s="73"/>
      <c r="O46" s="115" t="s">
        <v>177</v>
      </c>
      <c r="P46" s="116"/>
      <c r="Q46" s="75">
        <f>SUM(Q10:Q45)</f>
        <v>231.69680000000002</v>
      </c>
      <c r="R46" s="113"/>
    </row>
    <row r="47" spans="1:19" ht="16.5" thickBot="1" x14ac:dyDescent="0.3">
      <c r="A47" s="1"/>
      <c r="B47" s="18"/>
      <c r="C47" s="29"/>
      <c r="D47" s="7"/>
      <c r="E47" s="42"/>
      <c r="F47" s="8"/>
      <c r="G47" s="8"/>
      <c r="H47" s="8"/>
      <c r="I47" s="8"/>
      <c r="J47" s="8"/>
      <c r="K47" s="8"/>
      <c r="L47" s="8"/>
      <c r="M47" s="8"/>
      <c r="N47" s="74"/>
      <c r="O47" s="117" t="s">
        <v>178</v>
      </c>
      <c r="P47" s="118"/>
      <c r="Q47" s="52">
        <f>(Q46/10)</f>
        <v>23.169680000000003</v>
      </c>
      <c r="R47" s="114"/>
    </row>
  </sheetData>
  <mergeCells count="4">
    <mergeCell ref="R3:R8"/>
    <mergeCell ref="R46:R47"/>
    <mergeCell ref="O46:P46"/>
    <mergeCell ref="O47:P47"/>
  </mergeCells>
  <hyperlinks>
    <hyperlink ref="H10" r:id="rId1" display="https://www.lcsc.com/brand-detail/994.html"/>
    <hyperlink ref="O10" r:id="rId2"/>
    <hyperlink ref="O14" r:id="rId3"/>
    <hyperlink ref="O15" r:id="rId4"/>
    <hyperlink ref="O20" r:id="rId5"/>
    <hyperlink ref="O18" r:id="rId6"/>
    <hyperlink ref="O28" r:id="rId7"/>
    <hyperlink ref="O21" r:id="rId8"/>
    <hyperlink ref="O22" r:id="rId9"/>
    <hyperlink ref="O23" r:id="rId10"/>
    <hyperlink ref="O29" r:id="rId11"/>
    <hyperlink ref="O24" r:id="rId12"/>
    <hyperlink ref="O30" r:id="rId13"/>
    <hyperlink ref="O35" r:id="rId14"/>
    <hyperlink ref="O37" r:id="rId15"/>
    <hyperlink ref="O38" r:id="rId16"/>
    <hyperlink ref="O39" r:id="rId17"/>
    <hyperlink ref="O31" r:id="rId18"/>
    <hyperlink ref="O45" r:id="rId19"/>
    <hyperlink ref="O44" r:id="rId20"/>
    <hyperlink ref="O40" r:id="rId21"/>
    <hyperlink ref="O26" r:id="rId22"/>
    <hyperlink ref="O36" r:id="rId23"/>
    <hyperlink ref="O41" r:id="rId24"/>
    <hyperlink ref="O19" r:id="rId25"/>
    <hyperlink ref="O34" r:id="rId26"/>
    <hyperlink ref="O11" r:id="rId27"/>
    <hyperlink ref="O12" r:id="rId28"/>
    <hyperlink ref="O13" r:id="rId29"/>
    <hyperlink ref="O16" r:id="rId30"/>
    <hyperlink ref="O17" r:id="rId31"/>
    <hyperlink ref="O33" r:id="rId32"/>
    <hyperlink ref="O32" r:id="rId33"/>
  </hyperlinks>
  <pageMargins left="0.7" right="0.7" top="0.75" bottom="0.75" header="0.3" footer="0.3"/>
  <pageSetup orientation="portrait" r:id="rId34"/>
  <drawing r:id="rId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2023-02-22T15:16:40Z</dcterms:modified>
</cp:coreProperties>
</file>