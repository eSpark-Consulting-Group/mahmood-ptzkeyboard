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hmood-PTZKeyboard\Deliverables\BOM\PAC5527\"/>
    </mc:Choice>
  </mc:AlternateContent>
  <xr:revisionPtr revIDLastSave="0" documentId="13_ncr:1_{12518A8E-4C5E-4AAF-8CB5-E63150F898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U11" i="1" l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8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8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10" i="1"/>
  <c r="M27" i="1"/>
  <c r="M44" i="1"/>
  <c r="B44" i="1"/>
  <c r="M11" i="1" l="1"/>
  <c r="U47" i="1"/>
  <c r="U48" i="1" s="1"/>
  <c r="S47" i="1"/>
  <c r="S48" i="1" s="1"/>
  <c r="M37" i="1"/>
  <c r="B23" i="1" l="1"/>
  <c r="M23" i="1"/>
  <c r="M46" i="1" l="1"/>
  <c r="B46" i="1"/>
  <c r="M45" i="1"/>
  <c r="B45" i="1"/>
  <c r="M43" i="1"/>
  <c r="B43" i="1"/>
  <c r="M42" i="1"/>
  <c r="B42" i="1"/>
  <c r="M33" i="1"/>
  <c r="B33" i="1"/>
  <c r="M40" i="1"/>
  <c r="B40" i="1"/>
  <c r="M39" i="1"/>
  <c r="B39" i="1"/>
  <c r="M38" i="1"/>
  <c r="B38" i="1"/>
  <c r="B37" i="1"/>
  <c r="M36" i="1"/>
  <c r="B36" i="1"/>
  <c r="M32" i="1"/>
  <c r="B32" i="1"/>
  <c r="M35" i="1"/>
  <c r="B35" i="1"/>
  <c r="M34" i="1"/>
  <c r="B34" i="1"/>
  <c r="M31" i="1"/>
  <c r="B31" i="1"/>
  <c r="M30" i="1"/>
  <c r="B30" i="1"/>
  <c r="B29" i="1"/>
  <c r="M28" i="1"/>
  <c r="B28" i="1"/>
  <c r="B27" i="1"/>
  <c r="M26" i="1"/>
  <c r="B26" i="1"/>
  <c r="M25" i="1"/>
  <c r="B25" i="1"/>
  <c r="M24" i="1"/>
  <c r="B24" i="1"/>
  <c r="M22" i="1"/>
  <c r="B22" i="1"/>
  <c r="M21" i="1"/>
  <c r="B21" i="1"/>
  <c r="M20" i="1"/>
  <c r="B20" i="1"/>
  <c r="M19" i="1"/>
  <c r="B19" i="1"/>
  <c r="M18" i="1"/>
  <c r="B18" i="1"/>
  <c r="M17" i="1"/>
  <c r="B17" i="1"/>
  <c r="M16" i="1"/>
  <c r="B16" i="1"/>
  <c r="M15" i="1"/>
  <c r="B15" i="1"/>
  <c r="M14" i="1"/>
  <c r="B14" i="1"/>
  <c r="M13" i="1"/>
  <c r="B13" i="1"/>
  <c r="M12" i="1"/>
  <c r="B12" i="1"/>
  <c r="M10" i="1" l="1"/>
  <c r="B11" i="1"/>
  <c r="B10" i="1"/>
</calcChain>
</file>

<file path=xl/sharedStrings.xml><?xml version="1.0" encoding="utf-8"?>
<sst xmlns="http://schemas.openxmlformats.org/spreadsheetml/2006/main" count="391" uniqueCount="259">
  <si>
    <t>Component list</t>
  </si>
  <si>
    <t>Source Data From:</t>
  </si>
  <si>
    <t>Project:</t>
  </si>
  <si>
    <t>Variant:</t>
  </si>
  <si>
    <t>#</t>
  </si>
  <si>
    <t>Breakout_Board_PAC5527.PrjPcb</t>
  </si>
  <si>
    <t>None</t>
  </si>
  <si>
    <t>Item Type</t>
  </si>
  <si>
    <t>Inductor</t>
  </si>
  <si>
    <t>Transistor</t>
  </si>
  <si>
    <t>Resistor</t>
  </si>
  <si>
    <t>IC</t>
  </si>
  <si>
    <t>Designator</t>
  </si>
  <si>
    <t>C1, C2</t>
  </si>
  <si>
    <t>C4, C7</t>
  </si>
  <si>
    <t>C5</t>
  </si>
  <si>
    <t>C6</t>
  </si>
  <si>
    <t>C8, C9</t>
  </si>
  <si>
    <t>C10</t>
  </si>
  <si>
    <t>C13, C14, C15</t>
  </si>
  <si>
    <t>C16, C17, C18</t>
  </si>
  <si>
    <t>C19, C20, C21</t>
  </si>
  <si>
    <t>C22</t>
  </si>
  <si>
    <t>J1</t>
  </si>
  <si>
    <t>J2</t>
  </si>
  <si>
    <t>L1</t>
  </si>
  <si>
    <t>LED1, LED2</t>
  </si>
  <si>
    <t>P1, P2, P3, P4, P5</t>
  </si>
  <si>
    <t>P6</t>
  </si>
  <si>
    <t>P7, P8, P9, P10, P11, P12, P13, P14, P15, P16</t>
  </si>
  <si>
    <t>P17</t>
  </si>
  <si>
    <t>Q1, Q2, Q3, Q4, Q5, Q6</t>
  </si>
  <si>
    <t>R3, R4, R5</t>
  </si>
  <si>
    <t>R6, R7, R8, R18, R19, R20</t>
  </si>
  <si>
    <t>R10, R12, R17</t>
  </si>
  <si>
    <t>R13, R14, R15</t>
  </si>
  <si>
    <t>R21</t>
  </si>
  <si>
    <t>R22</t>
  </si>
  <si>
    <t>R23</t>
  </si>
  <si>
    <t>SW1</t>
  </si>
  <si>
    <t>U1</t>
  </si>
  <si>
    <t>U2</t>
  </si>
  <si>
    <t>U3</t>
  </si>
  <si>
    <t>U4</t>
  </si>
  <si>
    <t>Description</t>
  </si>
  <si>
    <t>CAP CER 0.1UF 100V X7R 0603</t>
  </si>
  <si>
    <t>CAP CER 2.2UF 25V X5R 0603</t>
  </si>
  <si>
    <t>CAP CER 4.7UF 16V X5R 0603</t>
  </si>
  <si>
    <t>CAP CER 22UF 25V X5R 0805</t>
  </si>
  <si>
    <t>CAP CER 0.1UF 50V Y5V 0603</t>
  </si>
  <si>
    <t>CAP CER 1UF 50V X7R 0603</t>
  </si>
  <si>
    <t>CAP CER 4.7UF 50V X7R 1206</t>
  </si>
  <si>
    <t>MLCC 3.3nF 50V X7R 0603</t>
  </si>
  <si>
    <t>CAP CER 1000PF 100V X7R 0402</t>
  </si>
  <si>
    <t>CAP CER 0.1UF 16V X5R 0402</t>
  </si>
  <si>
    <t>DIODE GEN PURP 75V 150MA SOD323</t>
  </si>
  <si>
    <t>CONN HEADER VERT 4POS 2.5MM</t>
  </si>
  <si>
    <t>CONN HEADER VERT 3POS 2.5MM</t>
  </si>
  <si>
    <t>Inductor Power Shielded Wirewound 22uH 20% 100KHz Ferrite 1.34A 73.2mOhm DCR T/R</t>
  </si>
  <si>
    <t>Green 520~535nm 0402 Light Emitting Diodes (LED) RoHS</t>
  </si>
  <si>
    <t>CONN HEADER 6 POS 2.54</t>
  </si>
  <si>
    <t>Test Point ON</t>
  </si>
  <si>
    <t>CONN HEADER VERT 2POS 2.54MM</t>
  </si>
  <si>
    <t>DFN(3.3x3.3) N 40V 20A  Transistor</t>
  </si>
  <si>
    <t>RES 1 OHM 1% 1/16W 0402</t>
  </si>
  <si>
    <t>RES SMD 100 OHM 1% 1/4W 0603</t>
  </si>
  <si>
    <t>RES SMD 100K OHM 5% 1/5W 0603</t>
  </si>
  <si>
    <t>RES 4.3K OHM 0.1% 1/10W 0603</t>
  </si>
  <si>
    <t>RES SMD 200K OHM 0.5% 1/10W 0603</t>
  </si>
  <si>
    <t>RES SMD 1K OHM 5% 1/10W 0402</t>
  </si>
  <si>
    <t>Res Thick Film 0805 4.7K Ohm 1% 0.5W ±100ppm/°C Molded SMD SMD Paper T/R</t>
  </si>
  <si>
    <t>RES 120 OHM 1% 1/10W 0603</t>
  </si>
  <si>
    <t>3mm 2mm Round Button 50mA Top3.65mm SPST 12V SMD Tactile Switches</t>
  </si>
  <si>
    <t>PAC5527 48V BLDC Motor Controller and Driver Evaluation Board</t>
  </si>
  <si>
    <t>IC TXRX CAN 3.3V SOT23-8</t>
  </si>
  <si>
    <t>15V 1.3V @ 800mA Fixed 3.3V SOT-223 Linear Voltage Regulators (LDO) ROHS</t>
  </si>
  <si>
    <t>Footprint</t>
  </si>
  <si>
    <t>Cap-0603</t>
  </si>
  <si>
    <t>CAP-0603</t>
  </si>
  <si>
    <t>Cap-0805</t>
  </si>
  <si>
    <t>Cap-1206</t>
  </si>
  <si>
    <t>Cap-0402</t>
  </si>
  <si>
    <t>SOD-323</t>
  </si>
  <si>
    <t>B4B-XH-A(LF)(SN).</t>
  </si>
  <si>
    <t>B3B-XH-A(LF)(SN)_</t>
  </si>
  <si>
    <t>SLF7045T-220MR90-PF</t>
  </si>
  <si>
    <t>LED-0402</t>
  </si>
  <si>
    <t>Through Hole Pad (High Power)</t>
  </si>
  <si>
    <t>HDR1X6_</t>
  </si>
  <si>
    <t>Test-point</t>
  </si>
  <si>
    <t>HDR1X2_</t>
  </si>
  <si>
    <t>DFN3.3X3.3</t>
  </si>
  <si>
    <t>Res-0603</t>
  </si>
  <si>
    <t>Res-0402</t>
  </si>
  <si>
    <t>RES-0603</t>
  </si>
  <si>
    <t>Res0402</t>
  </si>
  <si>
    <t>RES-0805</t>
  </si>
  <si>
    <t>TS-1185EC-C-D-B_</t>
  </si>
  <si>
    <t>48-QFN (6x6)_</t>
  </si>
  <si>
    <t>SOT-23-8</t>
  </si>
  <si>
    <t>SOT- 223</t>
  </si>
  <si>
    <t>Manufacturer Part Number</t>
  </si>
  <si>
    <t>CC0603KRX7R0BB104</t>
  </si>
  <si>
    <t>CC0603KRX5R8BB225</t>
  </si>
  <si>
    <t>CC0603KRX5R7BB475</t>
  </si>
  <si>
    <t>CL21A226MAYNNNE</t>
  </si>
  <si>
    <t>CL10A225KA8NNNC</t>
  </si>
  <si>
    <t>CC0603ZRY5V9BB104</t>
  </si>
  <si>
    <t>UMK107AB7105KA-T</t>
  </si>
  <si>
    <t>C3216X7R1H475K160AC</t>
  </si>
  <si>
    <t>0603B332K500CT</t>
  </si>
  <si>
    <t>CC0402KRX5R7BB104</t>
  </si>
  <si>
    <t>1N4148WS-7-F</t>
  </si>
  <si>
    <t>16-213/GHC-YR1S1/3T</t>
  </si>
  <si>
    <t>YJQ20N04A</t>
  </si>
  <si>
    <t>RC0402FR-071RL</t>
  </si>
  <si>
    <t>RCA0603100RFKEAHP</t>
  </si>
  <si>
    <t>CRGH0603J100K</t>
  </si>
  <si>
    <t>AR03BTCX4301</t>
  </si>
  <si>
    <t>RT0603DRD07200KL</t>
  </si>
  <si>
    <t>ERJ-2GEJ102X</t>
  </si>
  <si>
    <t>CRCW08054K70FKEAHP</t>
  </si>
  <si>
    <t>RC0603FR-07120RL</t>
  </si>
  <si>
    <t>TS-1185EC-C-D-B</t>
  </si>
  <si>
    <t>PAC5527QMST</t>
  </si>
  <si>
    <t>MAX3051EKA+T</t>
  </si>
  <si>
    <t>AZ1117CH-3.3TRG1</t>
  </si>
  <si>
    <t>Manufacturer</t>
  </si>
  <si>
    <t>Yageo</t>
  </si>
  <si>
    <t>Samsung</t>
  </si>
  <si>
    <t>Taiyo Yuden</t>
  </si>
  <si>
    <t>TDK</t>
  </si>
  <si>
    <t>Walsin Technologies</t>
  </si>
  <si>
    <t>Wurth Electronics</t>
  </si>
  <si>
    <t>Diodes</t>
  </si>
  <si>
    <t>Everlight Elec</t>
  </si>
  <si>
    <t>Yangzhou Yangjie Elec Tech</t>
  </si>
  <si>
    <t>Vishay Dale</t>
  </si>
  <si>
    <t>TE Connectivity</t>
  </si>
  <si>
    <t>Viking Tech</t>
  </si>
  <si>
    <t>Panasonic</t>
  </si>
  <si>
    <t>Vishay</t>
  </si>
  <si>
    <t>XKB</t>
  </si>
  <si>
    <t>Qorvo</t>
  </si>
  <si>
    <t>Maxim</t>
  </si>
  <si>
    <t>Diodes Incorporated</t>
  </si>
  <si>
    <t>LCSC Part Number</t>
  </si>
  <si>
    <t>C113803</t>
  </si>
  <si>
    <t>C309478</t>
  </si>
  <si>
    <t>C277476</t>
  </si>
  <si>
    <t>C602037</t>
  </si>
  <si>
    <t>C57895</t>
  </si>
  <si>
    <t>C106221</t>
  </si>
  <si>
    <t>C105174</t>
  </si>
  <si>
    <t>C302028</t>
  </si>
  <si>
    <t>C106204</t>
  </si>
  <si>
    <t>C60580</t>
  </si>
  <si>
    <t>C13754</t>
  </si>
  <si>
    <t>C74338</t>
  </si>
  <si>
    <t>C2828647</t>
  </si>
  <si>
    <t>C313926</t>
  </si>
  <si>
    <t>C114640</t>
  </si>
  <si>
    <t>C318893</t>
  </si>
  <si>
    <t>C92102</t>
  </si>
  <si>
    <t>220uF</t>
  </si>
  <si>
    <t>0.1uF</t>
  </si>
  <si>
    <t>2.2uF</t>
  </si>
  <si>
    <t>4.7uF</t>
  </si>
  <si>
    <t>22uF</t>
  </si>
  <si>
    <t>1uF</t>
  </si>
  <si>
    <t>3.3nF</t>
  </si>
  <si>
    <t>1000pF</t>
  </si>
  <si>
    <t>22uH</t>
  </si>
  <si>
    <t>Green</t>
  </si>
  <si>
    <t>1R</t>
  </si>
  <si>
    <t>100R</t>
  </si>
  <si>
    <t>100K</t>
  </si>
  <si>
    <t>4.3k</t>
  </si>
  <si>
    <t>200K</t>
  </si>
  <si>
    <t>1K</t>
  </si>
  <si>
    <t>4.7k</t>
  </si>
  <si>
    <t>120R</t>
  </si>
  <si>
    <t>Quantity</t>
  </si>
  <si>
    <t>Capacitor</t>
  </si>
  <si>
    <t>Diode</t>
  </si>
  <si>
    <t>Header</t>
  </si>
  <si>
    <t>LED</t>
  </si>
  <si>
    <t>Through Hole Pad</t>
  </si>
  <si>
    <t>Test Point</t>
  </si>
  <si>
    <t>Switch</t>
  </si>
  <si>
    <t>Alternate Part Number</t>
  </si>
  <si>
    <t>Value</t>
  </si>
  <si>
    <t xml:space="preserve"> Quantity (10 Boards)</t>
  </si>
  <si>
    <t xml:space="preserve"> Quantity (5 Boards)</t>
  </si>
  <si>
    <t xml:space="preserve"> MOQ (10 Boards)</t>
  </si>
  <si>
    <t xml:space="preserve"> MOQ (5 Boards)</t>
  </si>
  <si>
    <t xml:space="preserve"> Links</t>
  </si>
  <si>
    <t>Unit Cost (10 Boards)</t>
  </si>
  <si>
    <t xml:space="preserve"> Total Cost (10 Boards)</t>
  </si>
  <si>
    <t xml:space="preserve"> Remarks</t>
  </si>
  <si>
    <t>Unit Cost (5 Boards)</t>
  </si>
  <si>
    <t xml:space="preserve"> Total Cost (5 Boards)</t>
  </si>
  <si>
    <t>CAP ALUM 220UF 20% 50V SMD</t>
  </si>
  <si>
    <t>UCD-220uF-10mmDia</t>
  </si>
  <si>
    <t>UCD1H221MNL1GS</t>
  </si>
  <si>
    <t>Nichicon</t>
  </si>
  <si>
    <t>C116211</t>
  </si>
  <si>
    <t>LCSC</t>
  </si>
  <si>
    <t>3mm</t>
  </si>
  <si>
    <t>-</t>
  </si>
  <si>
    <t>CC1206KKX7R9BB475</t>
  </si>
  <si>
    <t>C132170</t>
  </si>
  <si>
    <t>CC0402KRX7R0BB102</t>
  </si>
  <si>
    <t>C527013</t>
  </si>
  <si>
    <t>C37208</t>
  </si>
  <si>
    <t>PZ254V-11-02P</t>
  </si>
  <si>
    <t>C492401</t>
  </si>
  <si>
    <t>C441916</t>
  </si>
  <si>
    <t>ERJPA3F1000V</t>
  </si>
  <si>
    <t>AC0603JR-07100KL</t>
  </si>
  <si>
    <t>C144628</t>
  </si>
  <si>
    <t>RC0402FR-071KL</t>
  </si>
  <si>
    <t>C2935237</t>
  </si>
  <si>
    <t>C112005</t>
  </si>
  <si>
    <t>Total Cost</t>
  </si>
  <si>
    <t>Cost per Board</t>
  </si>
  <si>
    <t>C3</t>
  </si>
  <si>
    <t>C11, C12</t>
  </si>
  <si>
    <t>D1, D2, D3</t>
  </si>
  <si>
    <t>R2</t>
  </si>
  <si>
    <t>Digital Contactless Angle Sensor with ABZ Incremental &amp; PWM Outputs 3.3V 12-Bit 16-Pin QFN T/R</t>
  </si>
  <si>
    <t>16-QFN (3x3)</t>
  </si>
  <si>
    <t>MA702GQ-Z</t>
  </si>
  <si>
    <t>Monolithic Power Systems</t>
  </si>
  <si>
    <t>R24</t>
  </si>
  <si>
    <t>RES 0 OHM JUMPER 1/10W 0603</t>
  </si>
  <si>
    <t>RC0603JR-070RL</t>
  </si>
  <si>
    <t>0R</t>
  </si>
  <si>
    <t>C95177</t>
  </si>
  <si>
    <t>BSC0702LS</t>
  </si>
  <si>
    <t>C501503</t>
  </si>
  <si>
    <t>C137904</t>
  </si>
  <si>
    <t>C105574</t>
  </si>
  <si>
    <t>B-2100S04P-A110</t>
  </si>
  <si>
    <t>B-2100S03P-A110</t>
  </si>
  <si>
    <t>Ckmtw</t>
  </si>
  <si>
    <t>C124378</t>
  </si>
  <si>
    <t>C124376</t>
  </si>
  <si>
    <t>Chipsmall</t>
  </si>
  <si>
    <t>Buy from Chipsmall</t>
  </si>
  <si>
    <t xml:space="preserve">  </t>
  </si>
  <si>
    <t>R1, R9, R11, R16</t>
  </si>
  <si>
    <t>Bill of Materials for Project [Breakout_Board_PAC5527]</t>
  </si>
  <si>
    <t>Res 2512 0.002 Ohm 1% 3W ±100ppm/C Epoxy Pad SMD Automotive T/R</t>
  </si>
  <si>
    <t>RES-2512</t>
  </si>
  <si>
    <t>PA2512FKF7T0R002E</t>
  </si>
  <si>
    <t>C728320</t>
  </si>
  <si>
    <t>2m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</si>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</sst>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13"/>
      <name val="Arial"/>
      <family val="2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9" fillId="3" borderId="5" xfId="0" applyFont="1" applyFill="1" applyBorder="1"/>
    <xf numFmtId="0" fontId="9" fillId="3" borderId="6" xfId="0" applyFont="1" applyFill="1" applyBorder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3" fillId="3" borderId="6" xfId="0" applyFont="1" applyFill="1" applyBorder="1"/>
    <xf numFmtId="0" fontId="13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5" borderId="13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 applyProtection="1">
      <alignment horizontal="left" vertical="center"/>
      <protection locked="0"/>
    </xf>
    <xf numFmtId="0" fontId="12" fillId="3" borderId="14" xfId="0" applyFont="1" applyFill="1" applyBorder="1" applyAlignment="1" applyProtection="1">
      <alignment horizontal="left" vertical="top"/>
      <protection locked="0"/>
    </xf>
    <xf numFmtId="0" fontId="0" fillId="3" borderId="0" xfId="0" applyFill="1"/>
    <xf numFmtId="0" fontId="15" fillId="3" borderId="22" xfId="0" quotePrefix="1" applyFont="1" applyFill="1" applyBorder="1" applyAlignment="1">
      <alignment vertical="center"/>
    </xf>
    <xf numFmtId="0" fontId="5" fillId="3" borderId="1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3" fillId="3" borderId="3" xfId="0" applyFont="1" applyFill="1" applyBorder="1"/>
    <xf numFmtId="164" fontId="13" fillId="3" borderId="3" xfId="0" applyNumberFormat="1" applyFont="1" applyFill="1" applyBorder="1" applyAlignment="1">
      <alignment horizontal="left"/>
    </xf>
    <xf numFmtId="0" fontId="16" fillId="3" borderId="3" xfId="0" applyFont="1" applyFill="1" applyBorder="1"/>
    <xf numFmtId="0" fontId="10" fillId="3" borderId="3" xfId="0" applyFont="1" applyFill="1" applyBorder="1"/>
    <xf numFmtId="0" fontId="9" fillId="3" borderId="21" xfId="0" applyFont="1" applyFill="1" applyBorder="1"/>
    <xf numFmtId="165" fontId="19" fillId="2" borderId="5" xfId="1" applyNumberFormat="1" applyFill="1" applyBorder="1" applyAlignment="1">
      <alignment horizontal="center" vertical="center" wrapText="1"/>
    </xf>
    <xf numFmtId="165" fontId="19" fillId="4" borderId="6" xfId="1" applyNumberFormat="1" applyFill="1" applyBorder="1" applyAlignment="1">
      <alignment horizontal="center" vertical="center" wrapText="1"/>
    </xf>
    <xf numFmtId="166" fontId="17" fillId="3" borderId="26" xfId="0" applyNumberFormat="1" applyFont="1" applyFill="1" applyBorder="1" applyAlignment="1">
      <alignment horizontal="center" vertical="center" wrapText="1"/>
    </xf>
    <xf numFmtId="166" fontId="17" fillId="3" borderId="25" xfId="0" applyNumberFormat="1" applyFont="1" applyFill="1" applyBorder="1" applyAlignment="1">
      <alignment horizontal="center" vertical="center" wrapText="1"/>
    </xf>
    <xf numFmtId="0" fontId="22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17" fillId="3" borderId="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1" fillId="3" borderId="14" xfId="0" applyFont="1" applyFill="1" applyBorder="1" applyAlignment="1" applyProtection="1">
      <alignment horizontal="center" vertical="center"/>
      <protection locked="0"/>
    </xf>
    <xf numFmtId="0" fontId="21" fillId="3" borderId="3" xfId="0" applyFont="1" applyFill="1" applyBorder="1" applyAlignment="1" applyProtection="1">
      <alignment horizontal="center" vertical="center"/>
      <protection locked="0"/>
    </xf>
    <xf numFmtId="0" fontId="23" fillId="2" borderId="5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11" fillId="3" borderId="11" xfId="0" applyFont="1" applyFill="1" applyBorder="1"/>
    <xf numFmtId="0" fontId="4" fillId="3" borderId="0" xfId="0" applyFont="1" applyFill="1" applyBorder="1" applyAlignment="1">
      <alignment horizontal="center"/>
    </xf>
    <xf numFmtId="0" fontId="11" fillId="3" borderId="0" xfId="0" applyFont="1" applyFill="1" applyBorder="1"/>
    <xf numFmtId="0" fontId="11" fillId="3" borderId="0" xfId="0" quotePrefix="1" applyFont="1" applyFill="1" applyBorder="1" applyAlignment="1">
      <alignment horizontal="left"/>
    </xf>
    <xf numFmtId="0" fontId="8" fillId="3" borderId="0" xfId="0" applyFont="1" applyFill="1" applyBorder="1"/>
    <xf numFmtId="0" fontId="6" fillId="3" borderId="0" xfId="0" applyFont="1" applyFill="1" applyBorder="1" applyAlignment="1">
      <alignment horizontal="center"/>
    </xf>
    <xf numFmtId="0" fontId="16" fillId="3" borderId="0" xfId="0" applyFont="1" applyFill="1" applyBorder="1"/>
    <xf numFmtId="0" fontId="10" fillId="3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9525</xdr:colOff>
      <xdr:row>2</xdr:row>
      <xdr:rowOff>10417</xdr:rowOff>
    </xdr:from>
    <xdr:to>
      <xdr:col>21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35843" y="633872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YAGEO-CC1206KKX7R9BB475_C132170.html" TargetMode="External"/><Relationship Id="rId18" Type="http://schemas.openxmlformats.org/officeDocument/2006/relationships/hyperlink" Target="https://www.lcsc.com/product-detail/Pin-Headers_Ckmtw-Shenzhen-Cankemeng-B-2100S03P-A110_C124376.html" TargetMode="External"/><Relationship Id="rId26" Type="http://schemas.openxmlformats.org/officeDocument/2006/relationships/hyperlink" Target="https://www.lcsc.com/product-detail/Chip-Resistor-Surface-Mount_YAGEO-RC0603FR-07200KL_C105574.html" TargetMode="External"/><Relationship Id="rId3" Type="http://schemas.openxmlformats.org/officeDocument/2006/relationships/hyperlink" Target="https://www.lcsc.com/product-detail/Multilayer-Ceramic-Capacitors-MLCC-SMD-SMT_YAGEO-CC0603KRX7R0BB104_C113803.html" TargetMode="External"/><Relationship Id="rId21" Type="http://schemas.openxmlformats.org/officeDocument/2006/relationships/hyperlink" Target="https://www.lcsc.com/product-detail/Light-Emitting-Diodes-LED_Everlight-Elec-16-213-GHC-YR1S1-3T_C74338.html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lcsc.com/product-detail/Multilayer-Ceramic-Capacitors-MLCC-SMD-SMT_Samsung-Electro-Mechanics-CL10A225KA8NNNC_C57895.html" TargetMode="External"/><Relationship Id="rId12" Type="http://schemas.openxmlformats.org/officeDocument/2006/relationships/hyperlink" Target="https://www.lcsc.com/product-detail/Switching-Diode_Diodes-Incorporated-1N4148WS-7-F_C60580.html" TargetMode="External"/><Relationship Id="rId17" Type="http://schemas.openxmlformats.org/officeDocument/2006/relationships/hyperlink" Target="https://www.lcsc.com/product-detail/Pin-Headers_Ckmtw-Shenzhen-Cankemeng-B-2100S04P-A110_C124378.html" TargetMode="External"/><Relationship Id="rId25" Type="http://schemas.openxmlformats.org/officeDocument/2006/relationships/hyperlink" Target="https://www.lcsc.com/product-detail/Chip-Resistor-Surface-Mount_Viking-Tech-AR03BTCX4301_C2828647.html" TargetMode="External"/><Relationship Id="rId33" Type="http://schemas.openxmlformats.org/officeDocument/2006/relationships/hyperlink" Target="https://www.lcsc.com/product-detail/Tactile-Switches_XKB-Connectivity-TS-1185EC-C-D-B_C318893.htmlhttps:/www.lcsc.com/product-detail/Tactile-Switches_XKB-Connectivity-TS-1185EC-C-D-B_C318893.html" TargetMode="External"/><Relationship Id="rId2" Type="http://schemas.openxmlformats.org/officeDocument/2006/relationships/hyperlink" Target="https://www.lcsc.com/product-detail/Aluminum-Electrolytic-Capacitors-SMD_Nichicon-UCD1H221MNL1GS_C116211.html" TargetMode="External"/><Relationship Id="rId16" Type="http://schemas.openxmlformats.org/officeDocument/2006/relationships/hyperlink" Target="https://www.lcsc.com/product-detail/Pin-Headers_XFCN-PZ254V-11-02P_C492401.html" TargetMode="External"/><Relationship Id="rId20" Type="http://schemas.openxmlformats.org/officeDocument/2006/relationships/hyperlink" Target="https://www.lcsc.com/product-detail/MOSFETs_Infineon-Technologies-BSC0702LS_C501503.html" TargetMode="External"/><Relationship Id="rId29" Type="http://schemas.openxmlformats.org/officeDocument/2006/relationships/hyperlink" Target="https://www.lcsc.com/product-detail/Chip-Resistor-Surface-Mount_YAGEO-RC0603FR-07120RL_C114640.html" TargetMode="External"/><Relationship Id="rId1" Type="http://schemas.openxmlformats.org/officeDocument/2006/relationships/hyperlink" Target="https://www.lcsc.com/brand-detail/994.html" TargetMode="External"/><Relationship Id="rId6" Type="http://schemas.openxmlformats.org/officeDocument/2006/relationships/hyperlink" Target="https://www.lcsc.com/product-detail/Multilayer-Ceramic-Capacitors-MLCC-SMD-SMT_Samsung-Electro-Mechanics-CL21A226MAYNNNE_C602037.html" TargetMode="External"/><Relationship Id="rId11" Type="http://schemas.openxmlformats.org/officeDocument/2006/relationships/hyperlink" Target="https://www.lcsc.com/product-detail/Multilayer-Ceramic-Capacitors-MLCC-SMD-SMT_YAGEO-CC0402KRX5R7BB104_C106204.html" TargetMode="External"/><Relationship Id="rId24" Type="http://schemas.openxmlformats.org/officeDocument/2006/relationships/hyperlink" Target="https://www.lcsc.com/product-detail/Chip-Resistor-Surface-Mount_YAGEO-AC0603JR-07100KL_C144628.html" TargetMode="External"/><Relationship Id="rId32" Type="http://schemas.openxmlformats.org/officeDocument/2006/relationships/hyperlink" Target="https://www.lcsc.com/product-detail/Chip-Resistor-Surface-Mount_YAGEO-RC0603JR-070RL_C95177.html" TargetMode="External"/><Relationship Id="rId5" Type="http://schemas.openxmlformats.org/officeDocument/2006/relationships/hyperlink" Target="https://www.lcsc.com/product-detail/Multilayer-Ceramic-Capacitors-MLCC-SMD-SMT_YAGEO-CC0603KRX5R8BB225_C309478.html" TargetMode="External"/><Relationship Id="rId15" Type="http://schemas.openxmlformats.org/officeDocument/2006/relationships/hyperlink" Target="https://www.lcsc.com/product-detail/Pin-Headers_BOOMELE-Boom-Precision-Elec-C37208_C37208.html" TargetMode="External"/><Relationship Id="rId23" Type="http://schemas.openxmlformats.org/officeDocument/2006/relationships/hyperlink" Target="https://www.lcsc.com/product-detail/Chip-Resistor-Surface-Mount_PANASONIC-ERJPA3F1000V_C441916.html" TargetMode="External"/><Relationship Id="rId28" Type="http://schemas.openxmlformats.org/officeDocument/2006/relationships/hyperlink" Target="https://www.lcsc.com/product-detail/Chip-Resistor-Surface-Mount_Vishay-Intertech-CRCW08054K70FKEAHP_C313926.html" TargetMode="External"/><Relationship Id="rId10" Type="http://schemas.openxmlformats.org/officeDocument/2006/relationships/hyperlink" Target="https://www.lcsc.com/product-detail/Multilayer-Ceramic-Capacitors-MLCC-SMD-SMT_Walsin-Tech-Corp-0603B332K500CT_C302028.html" TargetMode="External"/><Relationship Id="rId19" Type="http://schemas.openxmlformats.org/officeDocument/2006/relationships/hyperlink" Target="https://www.lcsc.com/product-detail/Power-Inductors_TDK-SLF7045T-220MR90-PF_C13754.html" TargetMode="External"/><Relationship Id="rId31" Type="http://schemas.openxmlformats.org/officeDocument/2006/relationships/hyperlink" Target="https://www.lcsc.com/product-detail/CAN-ICs_Maxim-Integrated-MAX3051EKA-T_C112005.html" TargetMode="External"/><Relationship Id="rId4" Type="http://schemas.openxmlformats.org/officeDocument/2006/relationships/hyperlink" Target="https://www.lcsc.com/product-detail/Multilayer-Ceramic-Capacitors-MLCC-SMD-SMT_YAGEO-CC0603KRX5R7BB475_C277476.html" TargetMode="External"/><Relationship Id="rId9" Type="http://schemas.openxmlformats.org/officeDocument/2006/relationships/hyperlink" Target="https://www.lcsc.com/product-detail/Multilayer-Ceramic-Capacitors-MLCC-SMD-SMT_Taiyo-Yuden-UMK107AB7105KA-T_C105174.html" TargetMode="External"/><Relationship Id="rId14" Type="http://schemas.openxmlformats.org/officeDocument/2006/relationships/hyperlink" Target="https://www.lcsc.com/product-detail/Multilayer-Ceramic-Capacitors-MLCC-SMD-SMT_YAGEO-CC0402KRX7R0BB102_C527013.html" TargetMode="External"/><Relationship Id="rId22" Type="http://schemas.openxmlformats.org/officeDocument/2006/relationships/hyperlink" Target="https://www.lcsc.com/product-detail/Chip-Resistor-Surface-Mount_YAGEO-RC0402JR-071RL_C137904.html" TargetMode="External"/><Relationship Id="rId27" Type="http://schemas.openxmlformats.org/officeDocument/2006/relationships/hyperlink" Target="https://www.lcsc.com/product-detail/Chip-Resistor-Surface-Mount_YAGEO-RC0402FR-071KL_C2935237.html" TargetMode="External"/><Relationship Id="rId30" Type="http://schemas.openxmlformats.org/officeDocument/2006/relationships/hyperlink" Target="https://www.lcsc.com/product-detail/Linear-Voltage-Regulators-LDO_Diodes-Incorporated-AZ1117CH-3-3TRG1_C92102.html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www.lcsc.com/product-detail/Multilayer-Ceramic-Capacitors-MLCC-SMD-SMT_YAGEO-CC0603ZRY5V9BB104_C10622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48"/>
  <sheetViews>
    <sheetView tabSelected="1" topLeftCell="F1" zoomScale="115" zoomScaleNormal="115" workbookViewId="0">
      <selection activeCell="I22" sqref="I22"/>
    </sheetView>
  </sheetViews>
  <sheetFormatPr defaultRowHeight="15" x14ac:dyDescent="0.25"/>
  <cols>
    <col min="2" max="2" width="3.140625" style="19" customWidth="1"/>
    <col min="3" max="3" width="18" style="19" bestFit="1" customWidth="1"/>
    <col min="4" max="4" width="31.42578125" bestFit="1" customWidth="1"/>
    <col min="5" max="5" width="43.85546875" bestFit="1" customWidth="1"/>
    <col min="6" max="6" width="26.5703125" customWidth="1"/>
    <col min="7" max="7" width="25.42578125" bestFit="1" customWidth="1"/>
    <col min="8" max="8" width="20.42578125" bestFit="1" customWidth="1"/>
    <col min="9" max="9" width="21.5703125" bestFit="1" customWidth="1"/>
    <col min="10" max="10" width="17.140625" bestFit="1" customWidth="1"/>
    <col min="11" max="11" width="6.28515625" bestFit="1" customWidth="1"/>
    <col min="12" max="12" width="8.85546875" bestFit="1" customWidth="1"/>
    <col min="13" max="13" width="18.85546875" bestFit="1" customWidth="1"/>
    <col min="14" max="14" width="16" bestFit="1" customWidth="1"/>
    <col min="15" max="15" width="20.140625" bestFit="1" customWidth="1"/>
    <col min="16" max="16" width="17.140625" bestFit="1" customWidth="1"/>
    <col min="17" max="17" width="8.85546875" bestFit="1" customWidth="1"/>
    <col min="18" max="18" width="18.7109375" bestFit="1" customWidth="1"/>
    <col min="19" max="20" width="20" bestFit="1" customWidth="1"/>
    <col min="21" max="21" width="21.140625" bestFit="1" customWidth="1"/>
    <col min="22" max="22" width="26.85546875" bestFit="1" customWidth="1"/>
  </cols>
  <sheetData>
    <row r="1" spans="1:22" ht="15.75" thickBot="1" x14ac:dyDescent="0.3">
      <c r="A1" s="1"/>
      <c r="B1" s="14"/>
      <c r="C1" s="14"/>
      <c r="D1" s="2"/>
      <c r="E1" s="2"/>
      <c r="F1" s="2"/>
      <c r="G1" s="2"/>
      <c r="H1" s="2"/>
      <c r="I1" s="2"/>
      <c r="J1" s="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</row>
    <row r="2" spans="1:22" ht="32.25" thickBot="1" x14ac:dyDescent="0.3">
      <c r="A2" s="1"/>
      <c r="B2" s="15"/>
      <c r="C2" s="27"/>
      <c r="D2" s="9" t="s">
        <v>0</v>
      </c>
      <c r="E2" s="77"/>
      <c r="F2" s="50" t="s">
        <v>252</v>
      </c>
      <c r="G2" s="38"/>
      <c r="H2" s="38"/>
      <c r="I2" s="3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</row>
    <row r="3" spans="1:22" ht="15" customHeight="1" x14ac:dyDescent="0.25">
      <c r="A3" s="1"/>
      <c r="B3" s="16"/>
      <c r="C3" s="78"/>
      <c r="D3" s="79" t="s">
        <v>1</v>
      </c>
      <c r="E3" s="79"/>
      <c r="F3" s="80" t="s">
        <v>5</v>
      </c>
      <c r="G3" s="79"/>
      <c r="H3" s="81"/>
      <c r="I3" s="79"/>
      <c r="J3" s="81"/>
      <c r="K3" s="5"/>
      <c r="L3" s="81"/>
      <c r="M3" s="81"/>
      <c r="N3" s="81"/>
      <c r="O3" s="81"/>
      <c r="P3" s="81"/>
      <c r="Q3" s="81"/>
      <c r="R3" s="81"/>
      <c r="S3" s="81"/>
      <c r="T3" s="81"/>
      <c r="U3" s="81"/>
      <c r="V3" s="65"/>
    </row>
    <row r="4" spans="1:22" ht="15" customHeight="1" x14ac:dyDescent="0.25">
      <c r="A4" s="1"/>
      <c r="B4" s="16"/>
      <c r="C4" s="78"/>
      <c r="D4" s="79" t="s">
        <v>2</v>
      </c>
      <c r="E4" s="79"/>
      <c r="F4" s="39" t="s">
        <v>5</v>
      </c>
      <c r="G4" s="10"/>
      <c r="H4" s="6"/>
      <c r="I4" s="10"/>
      <c r="J4" s="6"/>
      <c r="K4" s="5"/>
      <c r="L4" s="6"/>
      <c r="M4" s="6"/>
      <c r="N4" s="6"/>
      <c r="O4" s="6"/>
      <c r="P4" s="6"/>
      <c r="Q4" s="6"/>
      <c r="R4" s="6"/>
      <c r="S4" s="6"/>
      <c r="T4" s="6"/>
      <c r="U4" s="57"/>
      <c r="V4" s="66"/>
    </row>
    <row r="5" spans="1:22" ht="15" customHeight="1" x14ac:dyDescent="0.25">
      <c r="A5" s="1"/>
      <c r="B5" s="16"/>
      <c r="C5" s="78"/>
      <c r="D5" s="79" t="s">
        <v>3</v>
      </c>
      <c r="E5" s="79"/>
      <c r="F5" s="40" t="s">
        <v>6</v>
      </c>
      <c r="G5" s="11"/>
      <c r="H5" s="5"/>
      <c r="I5" s="1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6"/>
    </row>
    <row r="6" spans="1:22" x14ac:dyDescent="0.25">
      <c r="A6" s="1"/>
      <c r="B6" s="16"/>
      <c r="C6" s="78"/>
      <c r="D6" s="79"/>
      <c r="E6" s="79"/>
      <c r="F6" s="12"/>
      <c r="G6" s="11"/>
      <c r="H6" s="5"/>
      <c r="I6" s="1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6"/>
    </row>
    <row r="7" spans="1:22" x14ac:dyDescent="0.25">
      <c r="A7" s="1"/>
      <c r="B7" s="17"/>
      <c r="C7" s="82"/>
      <c r="D7" s="83"/>
      <c r="E7" s="83"/>
      <c r="F7" s="13"/>
      <c r="G7" s="83"/>
      <c r="H7" s="84"/>
      <c r="I7" s="83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66"/>
    </row>
    <row r="8" spans="1:22" ht="15.75" thickBot="1" x14ac:dyDescent="0.3">
      <c r="A8" s="1"/>
      <c r="B8" s="51"/>
      <c r="C8" s="52"/>
      <c r="D8" s="53"/>
      <c r="E8" s="53"/>
      <c r="F8" s="54"/>
      <c r="G8" s="55"/>
      <c r="H8" s="56"/>
      <c r="I8" s="55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67"/>
    </row>
    <row r="9" spans="1:22" ht="15.75" thickBot="1" x14ac:dyDescent="0.3">
      <c r="A9" s="1"/>
      <c r="B9" s="20" t="s">
        <v>4</v>
      </c>
      <c r="C9" s="20" t="s">
        <v>7</v>
      </c>
      <c r="D9" s="41" t="s">
        <v>12</v>
      </c>
      <c r="E9" s="42" t="s">
        <v>44</v>
      </c>
      <c r="F9" s="20" t="s">
        <v>76</v>
      </c>
      <c r="G9" s="21" t="s">
        <v>101</v>
      </c>
      <c r="H9" s="20" t="s">
        <v>127</v>
      </c>
      <c r="I9" s="20" t="s">
        <v>190</v>
      </c>
      <c r="J9" s="21" t="s">
        <v>146</v>
      </c>
      <c r="K9" s="20" t="s">
        <v>191</v>
      </c>
      <c r="L9" s="20" t="s">
        <v>182</v>
      </c>
      <c r="M9" s="20" t="s">
        <v>193</v>
      </c>
      <c r="N9" s="41" t="s">
        <v>195</v>
      </c>
      <c r="O9" s="20" t="s">
        <v>192</v>
      </c>
      <c r="P9" s="20" t="s">
        <v>194</v>
      </c>
      <c r="Q9" s="42" t="s">
        <v>196</v>
      </c>
      <c r="R9" s="20" t="s">
        <v>200</v>
      </c>
      <c r="S9" s="20" t="s">
        <v>201</v>
      </c>
      <c r="T9" s="20" t="s">
        <v>197</v>
      </c>
      <c r="U9" s="20" t="s">
        <v>198</v>
      </c>
      <c r="V9" s="41" t="s">
        <v>199</v>
      </c>
    </row>
    <row r="10" spans="1:22" ht="15.75" thickBot="1" x14ac:dyDescent="0.3">
      <c r="A10" s="1"/>
      <c r="B10" s="26">
        <f>ROW(B10) - ROW($B$9)</f>
        <v>1</v>
      </c>
      <c r="C10" s="30" t="s">
        <v>183</v>
      </c>
      <c r="D10" s="74" t="s">
        <v>13</v>
      </c>
      <c r="E10" s="46" t="s">
        <v>202</v>
      </c>
      <c r="F10" s="37" t="s">
        <v>203</v>
      </c>
      <c r="G10" s="31" t="s">
        <v>204</v>
      </c>
      <c r="H10" s="30" t="s">
        <v>205</v>
      </c>
      <c r="I10" s="31" t="s">
        <v>209</v>
      </c>
      <c r="J10" s="30" t="s">
        <v>206</v>
      </c>
      <c r="K10" s="31" t="s">
        <v>164</v>
      </c>
      <c r="L10" s="37">
        <v>2</v>
      </c>
      <c r="M10" s="32">
        <f>L10*5</f>
        <v>10</v>
      </c>
      <c r="N10" s="31">
        <v>15</v>
      </c>
      <c r="O10" s="37">
        <v>20</v>
      </c>
      <c r="P10" s="37">
        <v>25</v>
      </c>
      <c r="Q10" s="58" t="s">
        <v>207</v>
      </c>
      <c r="R10" s="35">
        <v>0.29630000000000001</v>
      </c>
      <c r="S10" s="35">
        <f>R10*N10</f>
        <v>4.4444999999999997</v>
      </c>
      <c r="T10" s="35">
        <v>0.29630000000000001</v>
      </c>
      <c r="U10" s="35">
        <f>T10*P10</f>
        <v>7.4075000000000006</v>
      </c>
      <c r="V10" s="32"/>
    </row>
    <row r="11" spans="1:22" ht="15.75" thickBot="1" x14ac:dyDescent="0.3">
      <c r="A11" s="1"/>
      <c r="B11" s="26">
        <f t="shared" ref="B11:B45" si="0">ROW(B11) - ROW($B$9)</f>
        <v>2</v>
      </c>
      <c r="C11" s="33" t="s">
        <v>183</v>
      </c>
      <c r="D11" s="75" t="s">
        <v>226</v>
      </c>
      <c r="E11" s="43" t="s">
        <v>45</v>
      </c>
      <c r="F11" s="33" t="s">
        <v>77</v>
      </c>
      <c r="G11" s="34" t="s">
        <v>102</v>
      </c>
      <c r="H11" s="33" t="s">
        <v>128</v>
      </c>
      <c r="I11" s="34" t="s">
        <v>209</v>
      </c>
      <c r="J11" s="33" t="s">
        <v>147</v>
      </c>
      <c r="K11" s="34" t="s">
        <v>165</v>
      </c>
      <c r="L11" s="33">
        <v>1</v>
      </c>
      <c r="M11" s="44">
        <f>L11*5</f>
        <v>5</v>
      </c>
      <c r="N11" s="34">
        <v>100</v>
      </c>
      <c r="O11" s="33">
        <v>10</v>
      </c>
      <c r="P11" s="33">
        <v>100</v>
      </c>
      <c r="Q11" s="59" t="s">
        <v>207</v>
      </c>
      <c r="R11" s="36">
        <v>5.1999999999999998E-3</v>
      </c>
      <c r="S11" s="36">
        <f t="shared" ref="S11:S46" si="1">R11*N11</f>
        <v>0.52</v>
      </c>
      <c r="T11" s="36">
        <v>5.1999999999999998E-3</v>
      </c>
      <c r="U11" s="36">
        <f t="shared" ref="U11:U46" si="2">T11*P11</f>
        <v>0.52</v>
      </c>
      <c r="V11" s="44"/>
    </row>
    <row r="12" spans="1:22" ht="15.75" thickBot="1" x14ac:dyDescent="0.3">
      <c r="A12" s="1"/>
      <c r="B12" s="26">
        <f>ROW(B12) - ROW($B$9)</f>
        <v>3</v>
      </c>
      <c r="C12" s="30" t="s">
        <v>183</v>
      </c>
      <c r="D12" s="74" t="s">
        <v>14</v>
      </c>
      <c r="E12" s="46" t="s">
        <v>46</v>
      </c>
      <c r="F12" s="30" t="s">
        <v>78</v>
      </c>
      <c r="G12" s="31" t="s">
        <v>103</v>
      </c>
      <c r="H12" s="30" t="s">
        <v>128</v>
      </c>
      <c r="I12" s="31" t="s">
        <v>209</v>
      </c>
      <c r="J12" s="30" t="s">
        <v>148</v>
      </c>
      <c r="K12" s="31" t="s">
        <v>166</v>
      </c>
      <c r="L12" s="45">
        <v>2</v>
      </c>
      <c r="M12" s="32">
        <f>L12*5</f>
        <v>10</v>
      </c>
      <c r="N12" s="31">
        <v>50</v>
      </c>
      <c r="O12" s="30">
        <v>20</v>
      </c>
      <c r="P12" s="30" t="s">
        <v>258</v>
      </c>
      <c r="Q12" s="58" t="s">
        <v>207</v>
      </c>
      <c r="R12" s="35">
        <v>1.84E-2</v>
      </c>
      <c r="S12" s="35">
        <f t="shared" si="1"/>
        <v>0.91999999999999993</v>
      </c>
      <c r="T12" s="35">
        <v>1.84E-2</v>
      </c>
      <c r="U12" s="35" t="e">
        <f t="shared" si="2"/>
        <v>#VALUE!</v>
      </c>
      <c r="V12" s="32"/>
    </row>
    <row r="13" spans="1:22" ht="15.75" thickBot="1" x14ac:dyDescent="0.3">
      <c r="A13" s="1"/>
      <c r="B13" s="26">
        <f t="shared" si="0"/>
        <v>4</v>
      </c>
      <c r="C13" s="33" t="s">
        <v>183</v>
      </c>
      <c r="D13" s="75" t="s">
        <v>15</v>
      </c>
      <c r="E13" s="43" t="s">
        <v>47</v>
      </c>
      <c r="F13" s="33" t="s">
        <v>77</v>
      </c>
      <c r="G13" s="34" t="s">
        <v>104</v>
      </c>
      <c r="H13" s="33" t="s">
        <v>128</v>
      </c>
      <c r="I13" s="34" t="s">
        <v>209</v>
      </c>
      <c r="J13" s="33" t="s">
        <v>149</v>
      </c>
      <c r="K13" s="34" t="s">
        <v>167</v>
      </c>
      <c r="L13" s="33">
        <v>1</v>
      </c>
      <c r="M13" s="44">
        <f t="shared" ref="M13" si="3">L13*5</f>
        <v>5</v>
      </c>
      <c r="N13" s="34">
        <v>20</v>
      </c>
      <c r="O13" s="33">
        <v>10</v>
      </c>
      <c r="P13" s="33">
        <v>20</v>
      </c>
      <c r="Q13" s="59" t="s">
        <v>207</v>
      </c>
      <c r="R13" s="36">
        <v>2.3599999999999999E-2</v>
      </c>
      <c r="S13" s="36">
        <f t="shared" si="1"/>
        <v>0.47199999999999998</v>
      </c>
      <c r="T13" s="36">
        <v>2.3599999999999999E-2</v>
      </c>
      <c r="U13" s="36">
        <f t="shared" si="2"/>
        <v>0.47199999999999998</v>
      </c>
      <c r="V13" s="44"/>
    </row>
    <row r="14" spans="1:22" ht="15.75" thickBot="1" x14ac:dyDescent="0.3">
      <c r="A14" s="1"/>
      <c r="B14" s="26">
        <f>ROW(B14) - ROW($B$9)</f>
        <v>5</v>
      </c>
      <c r="C14" s="30" t="s">
        <v>183</v>
      </c>
      <c r="D14" s="74" t="s">
        <v>16</v>
      </c>
      <c r="E14" s="46" t="s">
        <v>48</v>
      </c>
      <c r="F14" s="30" t="s">
        <v>79</v>
      </c>
      <c r="G14" s="31" t="s">
        <v>105</v>
      </c>
      <c r="H14" s="30" t="s">
        <v>129</v>
      </c>
      <c r="I14" s="31" t="s">
        <v>209</v>
      </c>
      <c r="J14" s="30" t="s">
        <v>150</v>
      </c>
      <c r="K14" s="31" t="s">
        <v>168</v>
      </c>
      <c r="L14" s="45">
        <v>1</v>
      </c>
      <c r="M14" s="32">
        <f>L14*5</f>
        <v>5</v>
      </c>
      <c r="N14" s="31">
        <v>20</v>
      </c>
      <c r="O14" s="30">
        <v>10</v>
      </c>
      <c r="P14" s="30">
        <v>20</v>
      </c>
      <c r="Q14" s="58" t="s">
        <v>207</v>
      </c>
      <c r="R14" s="35">
        <v>2.3900000000000001E-2</v>
      </c>
      <c r="S14" s="35">
        <f t="shared" si="1"/>
        <v>0.47800000000000004</v>
      </c>
      <c r="T14" s="35">
        <v>2.3900000000000001E-2</v>
      </c>
      <c r="U14" s="35">
        <f t="shared" si="2"/>
        <v>0.47800000000000004</v>
      </c>
      <c r="V14" s="32"/>
    </row>
    <row r="15" spans="1:22" ht="15.75" thickBot="1" x14ac:dyDescent="0.3">
      <c r="A15" s="1"/>
      <c r="B15" s="26">
        <f t="shared" si="0"/>
        <v>6</v>
      </c>
      <c r="C15" s="33" t="s">
        <v>183</v>
      </c>
      <c r="D15" s="75" t="s">
        <v>17</v>
      </c>
      <c r="E15" s="43" t="s">
        <v>46</v>
      </c>
      <c r="F15" s="33" t="s">
        <v>77</v>
      </c>
      <c r="G15" s="34" t="s">
        <v>106</v>
      </c>
      <c r="H15" s="33" t="s">
        <v>129</v>
      </c>
      <c r="I15" s="34" t="s">
        <v>209</v>
      </c>
      <c r="J15" s="33" t="s">
        <v>151</v>
      </c>
      <c r="K15" s="34" t="s">
        <v>166</v>
      </c>
      <c r="L15" s="33">
        <v>2</v>
      </c>
      <c r="M15" s="44">
        <f t="shared" ref="M15" si="4">L15*5</f>
        <v>10</v>
      </c>
      <c r="N15" s="34">
        <v>50</v>
      </c>
      <c r="O15" s="33">
        <v>20</v>
      </c>
      <c r="P15" s="33">
        <v>50</v>
      </c>
      <c r="Q15" s="59" t="s">
        <v>207</v>
      </c>
      <c r="R15" s="36">
        <v>7.7000000000000002E-3</v>
      </c>
      <c r="S15" s="36">
        <f t="shared" si="1"/>
        <v>0.38500000000000001</v>
      </c>
      <c r="T15" s="36">
        <v>7.7000000000000002E-3</v>
      </c>
      <c r="U15" s="36">
        <f t="shared" si="2"/>
        <v>0.38500000000000001</v>
      </c>
      <c r="V15" s="44"/>
    </row>
    <row r="16" spans="1:22" ht="15.75" thickBot="1" x14ac:dyDescent="0.3">
      <c r="A16" s="1"/>
      <c r="B16" s="26">
        <f>ROW(B16) - ROW($B$9)</f>
        <v>7</v>
      </c>
      <c r="C16" s="30" t="s">
        <v>183</v>
      </c>
      <c r="D16" s="74" t="s">
        <v>18</v>
      </c>
      <c r="E16" s="46" t="s">
        <v>49</v>
      </c>
      <c r="F16" s="30" t="s">
        <v>77</v>
      </c>
      <c r="G16" s="31" t="s">
        <v>107</v>
      </c>
      <c r="H16" s="30" t="s">
        <v>128</v>
      </c>
      <c r="I16" s="31" t="s">
        <v>209</v>
      </c>
      <c r="J16" s="30" t="s">
        <v>152</v>
      </c>
      <c r="K16" s="31" t="s">
        <v>165</v>
      </c>
      <c r="L16" s="45">
        <v>1</v>
      </c>
      <c r="M16" s="32">
        <f>L16*5</f>
        <v>5</v>
      </c>
      <c r="N16" s="31">
        <v>100</v>
      </c>
      <c r="O16" s="30">
        <v>10</v>
      </c>
      <c r="P16" s="30">
        <v>100</v>
      </c>
      <c r="Q16" s="58" t="s">
        <v>207</v>
      </c>
      <c r="R16" s="35">
        <v>2.7000000000000001E-3</v>
      </c>
      <c r="S16" s="35">
        <f t="shared" si="1"/>
        <v>0.27</v>
      </c>
      <c r="T16" s="35">
        <v>2.7000000000000001E-3</v>
      </c>
      <c r="U16" s="35">
        <f t="shared" si="2"/>
        <v>0.27</v>
      </c>
      <c r="V16" s="32"/>
    </row>
    <row r="17" spans="1:22" ht="15.75" thickBot="1" x14ac:dyDescent="0.3">
      <c r="A17" s="1"/>
      <c r="B17" s="26">
        <f t="shared" si="0"/>
        <v>8</v>
      </c>
      <c r="C17" s="33" t="s">
        <v>183</v>
      </c>
      <c r="D17" s="75" t="s">
        <v>227</v>
      </c>
      <c r="E17" s="43" t="s">
        <v>50</v>
      </c>
      <c r="F17" s="33" t="s">
        <v>77</v>
      </c>
      <c r="G17" s="34" t="s">
        <v>108</v>
      </c>
      <c r="H17" s="33" t="s">
        <v>130</v>
      </c>
      <c r="I17" s="34" t="s">
        <v>209</v>
      </c>
      <c r="J17" s="33" t="s">
        <v>153</v>
      </c>
      <c r="K17" s="34" t="s">
        <v>169</v>
      </c>
      <c r="L17" s="33">
        <v>2</v>
      </c>
      <c r="M17" s="44">
        <f t="shared" ref="M17" si="5">L17*5</f>
        <v>10</v>
      </c>
      <c r="N17" s="34">
        <v>20</v>
      </c>
      <c r="O17" s="33">
        <v>20</v>
      </c>
      <c r="P17" s="33">
        <v>20</v>
      </c>
      <c r="Q17" s="59" t="s">
        <v>207</v>
      </c>
      <c r="R17" s="36">
        <v>2.8000000000000001E-2</v>
      </c>
      <c r="S17" s="36">
        <f t="shared" si="1"/>
        <v>0.56000000000000005</v>
      </c>
      <c r="T17" s="36">
        <v>2.8000000000000001E-2</v>
      </c>
      <c r="U17" s="36">
        <f t="shared" si="2"/>
        <v>0.56000000000000005</v>
      </c>
      <c r="V17" s="44"/>
    </row>
    <row r="18" spans="1:22" ht="15.75" thickBot="1" x14ac:dyDescent="0.3">
      <c r="A18" s="1"/>
      <c r="B18" s="26">
        <f>ROW(B18) - ROW($B$9)</f>
        <v>9</v>
      </c>
      <c r="C18" s="30" t="s">
        <v>183</v>
      </c>
      <c r="D18" s="74" t="s">
        <v>19</v>
      </c>
      <c r="E18" s="46" t="s">
        <v>51</v>
      </c>
      <c r="F18" s="30" t="s">
        <v>80</v>
      </c>
      <c r="G18" s="31" t="s">
        <v>109</v>
      </c>
      <c r="H18" s="30" t="s">
        <v>131</v>
      </c>
      <c r="I18" s="31" t="s">
        <v>210</v>
      </c>
      <c r="J18" s="30" t="s">
        <v>211</v>
      </c>
      <c r="K18" s="31" t="s">
        <v>167</v>
      </c>
      <c r="L18" s="45">
        <v>3</v>
      </c>
      <c r="M18" s="32">
        <f>L18*5</f>
        <v>15</v>
      </c>
      <c r="N18" s="31">
        <v>20</v>
      </c>
      <c r="O18" s="30">
        <v>30</v>
      </c>
      <c r="P18" s="30">
        <v>30</v>
      </c>
      <c r="Q18" s="58" t="s">
        <v>207</v>
      </c>
      <c r="R18" s="35">
        <v>6.2399999999999997E-2</v>
      </c>
      <c r="S18" s="35">
        <f t="shared" si="1"/>
        <v>1.248</v>
      </c>
      <c r="T18" s="35">
        <v>6.2399999999999997E-2</v>
      </c>
      <c r="U18" s="35">
        <f t="shared" si="2"/>
        <v>1.8719999999999999</v>
      </c>
      <c r="V18" s="32"/>
    </row>
    <row r="19" spans="1:22" ht="15.75" thickBot="1" x14ac:dyDescent="0.3">
      <c r="A19" s="1"/>
      <c r="B19" s="26">
        <f t="shared" si="0"/>
        <v>10</v>
      </c>
      <c r="C19" s="33" t="s">
        <v>183</v>
      </c>
      <c r="D19" s="75" t="s">
        <v>20</v>
      </c>
      <c r="E19" s="43" t="s">
        <v>52</v>
      </c>
      <c r="F19" s="33" t="s">
        <v>77</v>
      </c>
      <c r="G19" s="34" t="s">
        <v>110</v>
      </c>
      <c r="H19" s="33" t="s">
        <v>132</v>
      </c>
      <c r="I19" s="34"/>
      <c r="J19" s="33" t="s">
        <v>154</v>
      </c>
      <c r="K19" s="34" t="s">
        <v>170</v>
      </c>
      <c r="L19" s="33">
        <v>3</v>
      </c>
      <c r="M19" s="44">
        <f t="shared" ref="M19" si="6">L19*5</f>
        <v>15</v>
      </c>
      <c r="N19" s="34">
        <v>50</v>
      </c>
      <c r="O19" s="33">
        <v>30</v>
      </c>
      <c r="P19" s="33">
        <v>50</v>
      </c>
      <c r="Q19" s="59" t="s">
        <v>207</v>
      </c>
      <c r="R19" s="36">
        <v>7.1000000000000004E-3</v>
      </c>
      <c r="S19" s="36">
        <f t="shared" si="1"/>
        <v>0.35500000000000004</v>
      </c>
      <c r="T19" s="36">
        <v>7.1000000000000004E-3</v>
      </c>
      <c r="U19" s="36">
        <f t="shared" si="2"/>
        <v>0.35500000000000004</v>
      </c>
      <c r="V19" s="44"/>
    </row>
    <row r="20" spans="1:22" ht="15.75" thickBot="1" x14ac:dyDescent="0.3">
      <c r="A20" s="1"/>
      <c r="B20" s="26">
        <f>ROW(B20) - ROW($B$9)</f>
        <v>11</v>
      </c>
      <c r="C20" s="30" t="s">
        <v>183</v>
      </c>
      <c r="D20" s="74" t="s">
        <v>21</v>
      </c>
      <c r="E20" s="46" t="s">
        <v>53</v>
      </c>
      <c r="F20" s="30" t="s">
        <v>81</v>
      </c>
      <c r="G20" s="31">
        <v>885012205080</v>
      </c>
      <c r="H20" s="30" t="s">
        <v>133</v>
      </c>
      <c r="I20" s="31" t="s">
        <v>212</v>
      </c>
      <c r="J20" s="30" t="s">
        <v>213</v>
      </c>
      <c r="K20" s="31" t="s">
        <v>171</v>
      </c>
      <c r="L20" s="45">
        <v>3</v>
      </c>
      <c r="M20" s="32">
        <f>L20*5</f>
        <v>15</v>
      </c>
      <c r="N20" s="31">
        <v>100</v>
      </c>
      <c r="O20" s="30">
        <v>30</v>
      </c>
      <c r="P20" s="30">
        <v>100</v>
      </c>
      <c r="Q20" s="58" t="s">
        <v>207</v>
      </c>
      <c r="R20" s="35">
        <v>4.4000000000000003E-3</v>
      </c>
      <c r="S20" s="35">
        <f t="shared" si="1"/>
        <v>0.44</v>
      </c>
      <c r="T20" s="35">
        <v>4.4000000000000003E-3</v>
      </c>
      <c r="U20" s="35">
        <f t="shared" si="2"/>
        <v>0.44</v>
      </c>
      <c r="V20" s="32"/>
    </row>
    <row r="21" spans="1:22" ht="15.75" thickBot="1" x14ac:dyDescent="0.3">
      <c r="A21" s="1"/>
      <c r="B21" s="26">
        <f t="shared" si="0"/>
        <v>12</v>
      </c>
      <c r="C21" s="33" t="s">
        <v>183</v>
      </c>
      <c r="D21" s="75" t="s">
        <v>22</v>
      </c>
      <c r="E21" s="43" t="s">
        <v>54</v>
      </c>
      <c r="F21" s="33" t="s">
        <v>81</v>
      </c>
      <c r="G21" s="34" t="s">
        <v>111</v>
      </c>
      <c r="H21" s="33" t="s">
        <v>128</v>
      </c>
      <c r="I21" s="34"/>
      <c r="J21" s="33" t="s">
        <v>155</v>
      </c>
      <c r="K21" s="34" t="s">
        <v>165</v>
      </c>
      <c r="L21" s="33">
        <v>1</v>
      </c>
      <c r="M21" s="44">
        <f t="shared" ref="M21" si="7">L21*5</f>
        <v>5</v>
      </c>
      <c r="N21" s="34">
        <v>100</v>
      </c>
      <c r="O21" s="33">
        <v>10</v>
      </c>
      <c r="P21" s="33">
        <v>100</v>
      </c>
      <c r="Q21" s="59" t="s">
        <v>207</v>
      </c>
      <c r="R21" s="36">
        <v>1.1000000000000001E-3</v>
      </c>
      <c r="S21" s="36">
        <f t="shared" si="1"/>
        <v>0.11</v>
      </c>
      <c r="T21" s="36">
        <v>1.1000000000000001E-3</v>
      </c>
      <c r="U21" s="36">
        <f t="shared" si="2"/>
        <v>0.11</v>
      </c>
      <c r="V21" s="44"/>
    </row>
    <row r="22" spans="1:22" ht="15.75" thickBot="1" x14ac:dyDescent="0.3">
      <c r="A22" s="1"/>
      <c r="B22" s="26">
        <f t="shared" si="0"/>
        <v>13</v>
      </c>
      <c r="C22" s="30" t="s">
        <v>184</v>
      </c>
      <c r="D22" s="74" t="s">
        <v>228</v>
      </c>
      <c r="E22" s="46" t="s">
        <v>55</v>
      </c>
      <c r="F22" s="30" t="s">
        <v>82</v>
      </c>
      <c r="G22" s="31" t="s">
        <v>112</v>
      </c>
      <c r="H22" s="30" t="s">
        <v>134</v>
      </c>
      <c r="I22" s="31"/>
      <c r="J22" s="30" t="s">
        <v>156</v>
      </c>
      <c r="K22" s="31" t="s">
        <v>209</v>
      </c>
      <c r="L22" s="45">
        <v>3</v>
      </c>
      <c r="M22" s="32">
        <f t="shared" ref="M22" si="8">L22*5</f>
        <v>15</v>
      </c>
      <c r="N22" s="31">
        <v>20</v>
      </c>
      <c r="O22" s="30">
        <v>30</v>
      </c>
      <c r="P22" s="30">
        <v>40</v>
      </c>
      <c r="Q22" s="58" t="s">
        <v>207</v>
      </c>
      <c r="R22" s="35">
        <v>2.0400000000000001E-2</v>
      </c>
      <c r="S22" s="35">
        <f t="shared" si="1"/>
        <v>0.40800000000000003</v>
      </c>
      <c r="T22" s="35">
        <v>2.0400000000000001E-2</v>
      </c>
      <c r="U22" s="35">
        <f t="shared" si="2"/>
        <v>0.81600000000000006</v>
      </c>
      <c r="V22" s="32"/>
    </row>
    <row r="23" spans="1:22" ht="15.75" thickBot="1" x14ac:dyDescent="0.3">
      <c r="A23" s="1"/>
      <c r="B23" s="26">
        <f>ROW(B23) - ROW($B$9)</f>
        <v>14</v>
      </c>
      <c r="C23" s="33" t="s">
        <v>185</v>
      </c>
      <c r="D23" s="75" t="s">
        <v>23</v>
      </c>
      <c r="E23" s="43" t="s">
        <v>56</v>
      </c>
      <c r="F23" s="33" t="s">
        <v>83</v>
      </c>
      <c r="G23" s="34" t="s">
        <v>243</v>
      </c>
      <c r="H23" s="33" t="s">
        <v>245</v>
      </c>
      <c r="I23" s="34"/>
      <c r="J23" s="33" t="s">
        <v>246</v>
      </c>
      <c r="K23" s="34" t="s">
        <v>209</v>
      </c>
      <c r="L23" s="33">
        <v>1</v>
      </c>
      <c r="M23" s="44">
        <f>L23*5</f>
        <v>5</v>
      </c>
      <c r="N23" s="34">
        <v>10</v>
      </c>
      <c r="O23" s="33">
        <v>10</v>
      </c>
      <c r="P23" s="33">
        <v>10</v>
      </c>
      <c r="Q23" s="59" t="s">
        <v>207</v>
      </c>
      <c r="R23" s="36">
        <v>4.0500000000000001E-2</v>
      </c>
      <c r="S23" s="36">
        <f t="shared" si="1"/>
        <v>0.40500000000000003</v>
      </c>
      <c r="T23" s="36">
        <v>4.0500000000000001E-2</v>
      </c>
      <c r="U23" s="36">
        <f t="shared" si="2"/>
        <v>0.40500000000000003</v>
      </c>
      <c r="V23" s="44"/>
    </row>
    <row r="24" spans="1:22" ht="15.75" thickBot="1" x14ac:dyDescent="0.3">
      <c r="A24" s="1"/>
      <c r="B24" s="26">
        <f>ROW(B24) - ROW($B$9)</f>
        <v>15</v>
      </c>
      <c r="C24" s="30" t="s">
        <v>185</v>
      </c>
      <c r="D24" s="74" t="s">
        <v>24</v>
      </c>
      <c r="E24" s="46" t="s">
        <v>57</v>
      </c>
      <c r="F24" s="30" t="s">
        <v>84</v>
      </c>
      <c r="G24" s="31" t="s">
        <v>244</v>
      </c>
      <c r="H24" s="30" t="s">
        <v>245</v>
      </c>
      <c r="I24" s="31"/>
      <c r="J24" s="30" t="s">
        <v>247</v>
      </c>
      <c r="K24" s="31" t="s">
        <v>209</v>
      </c>
      <c r="L24" s="45">
        <v>1</v>
      </c>
      <c r="M24" s="32">
        <f t="shared" ref="M24" si="9">L24*5</f>
        <v>5</v>
      </c>
      <c r="N24" s="31">
        <v>20</v>
      </c>
      <c r="O24" s="30">
        <v>10</v>
      </c>
      <c r="P24" s="30">
        <v>20</v>
      </c>
      <c r="Q24" s="58" t="s">
        <v>207</v>
      </c>
      <c r="R24" s="35">
        <v>2.3E-2</v>
      </c>
      <c r="S24" s="35">
        <f t="shared" si="1"/>
        <v>0.45999999999999996</v>
      </c>
      <c r="T24" s="35">
        <v>2.3E-2</v>
      </c>
      <c r="U24" s="35">
        <f t="shared" si="2"/>
        <v>0.45999999999999996</v>
      </c>
      <c r="V24" s="32"/>
    </row>
    <row r="25" spans="1:22" ht="24.75" thickBot="1" x14ac:dyDescent="0.3">
      <c r="A25" s="1"/>
      <c r="B25" s="26">
        <f>ROW(B25) - ROW($B$9)</f>
        <v>16</v>
      </c>
      <c r="C25" s="33" t="s">
        <v>8</v>
      </c>
      <c r="D25" s="75" t="s">
        <v>25</v>
      </c>
      <c r="E25" s="43" t="s">
        <v>58</v>
      </c>
      <c r="F25" s="33" t="s">
        <v>85</v>
      </c>
      <c r="G25" s="34" t="s">
        <v>85</v>
      </c>
      <c r="H25" s="33" t="s">
        <v>131</v>
      </c>
      <c r="I25" s="34"/>
      <c r="J25" s="33" t="s">
        <v>157</v>
      </c>
      <c r="K25" s="34" t="s">
        <v>172</v>
      </c>
      <c r="L25" s="33">
        <v>1</v>
      </c>
      <c r="M25" s="44">
        <f>L25*5</f>
        <v>5</v>
      </c>
      <c r="N25" s="34">
        <v>5</v>
      </c>
      <c r="O25" s="33">
        <v>10</v>
      </c>
      <c r="P25" s="33">
        <v>10</v>
      </c>
      <c r="Q25" s="59" t="s">
        <v>207</v>
      </c>
      <c r="R25" s="36">
        <v>0.26979999999999998</v>
      </c>
      <c r="S25" s="36">
        <f t="shared" si="1"/>
        <v>1.349</v>
      </c>
      <c r="T25" s="36">
        <v>0.26979999999999998</v>
      </c>
      <c r="U25" s="36">
        <f t="shared" si="2"/>
        <v>2.698</v>
      </c>
      <c r="V25" s="44"/>
    </row>
    <row r="26" spans="1:22" ht="24.75" thickBot="1" x14ac:dyDescent="0.3">
      <c r="A26" s="1"/>
      <c r="B26" s="26">
        <f>ROW(B26) - ROW($B$9)</f>
        <v>17</v>
      </c>
      <c r="C26" s="30" t="s">
        <v>186</v>
      </c>
      <c r="D26" s="74" t="s">
        <v>26</v>
      </c>
      <c r="E26" s="46" t="s">
        <v>59</v>
      </c>
      <c r="F26" s="30" t="s">
        <v>86</v>
      </c>
      <c r="G26" s="31" t="s">
        <v>113</v>
      </c>
      <c r="H26" s="30" t="s">
        <v>135</v>
      </c>
      <c r="I26" s="31"/>
      <c r="J26" s="30" t="s">
        <v>158</v>
      </c>
      <c r="K26" s="31" t="s">
        <v>173</v>
      </c>
      <c r="L26" s="45">
        <v>2</v>
      </c>
      <c r="M26" s="32">
        <f t="shared" ref="M26:M27" si="10">L26*5</f>
        <v>10</v>
      </c>
      <c r="N26" s="31">
        <v>10</v>
      </c>
      <c r="O26" s="30">
        <v>20</v>
      </c>
      <c r="P26" s="30">
        <v>20</v>
      </c>
      <c r="Q26" s="58" t="s">
        <v>207</v>
      </c>
      <c r="R26" s="35">
        <v>6.3899999999999998E-2</v>
      </c>
      <c r="S26" s="35">
        <f t="shared" si="1"/>
        <v>0.63900000000000001</v>
      </c>
      <c r="T26" s="35">
        <v>6.3899999999999998E-2</v>
      </c>
      <c r="U26" s="35">
        <f t="shared" si="2"/>
        <v>1.278</v>
      </c>
      <c r="V26" s="32"/>
    </row>
    <row r="27" spans="1:22" ht="15.75" thickBot="1" x14ac:dyDescent="0.3">
      <c r="A27" s="1"/>
      <c r="B27" s="26">
        <f>ROW(B27) - ROW($B$9)</f>
        <v>18</v>
      </c>
      <c r="C27" s="33" t="s">
        <v>187</v>
      </c>
      <c r="D27" s="75" t="s">
        <v>27</v>
      </c>
      <c r="E27" s="43" t="s">
        <v>208</v>
      </c>
      <c r="F27" s="33" t="s">
        <v>87</v>
      </c>
      <c r="G27" s="34" t="s">
        <v>209</v>
      </c>
      <c r="H27" s="33" t="s">
        <v>209</v>
      </c>
      <c r="I27" s="34"/>
      <c r="J27" s="33" t="s">
        <v>209</v>
      </c>
      <c r="K27" s="34"/>
      <c r="L27" s="33">
        <v>5</v>
      </c>
      <c r="M27" s="44">
        <f t="shared" si="10"/>
        <v>25</v>
      </c>
      <c r="N27" s="34" t="s">
        <v>209</v>
      </c>
      <c r="O27" s="33">
        <v>50</v>
      </c>
      <c r="P27" s="33" t="s">
        <v>209</v>
      </c>
      <c r="Q27" s="59" t="s">
        <v>209</v>
      </c>
      <c r="R27" s="36" t="s">
        <v>209</v>
      </c>
      <c r="S27" s="36" t="s">
        <v>209</v>
      </c>
      <c r="T27" s="36" t="s">
        <v>209</v>
      </c>
      <c r="U27" s="36" t="s">
        <v>209</v>
      </c>
      <c r="V27" s="44"/>
    </row>
    <row r="28" spans="1:22" ht="15.75" thickBot="1" x14ac:dyDescent="0.3">
      <c r="A28" s="1"/>
      <c r="B28" s="26">
        <f>ROW(B28) - ROW($B$9)</f>
        <v>19</v>
      </c>
      <c r="C28" s="30" t="s">
        <v>185</v>
      </c>
      <c r="D28" s="74" t="s">
        <v>28</v>
      </c>
      <c r="E28" s="46" t="s">
        <v>60</v>
      </c>
      <c r="F28" s="30" t="s">
        <v>88</v>
      </c>
      <c r="G28" s="31">
        <v>61300611121</v>
      </c>
      <c r="H28" s="30" t="s">
        <v>133</v>
      </c>
      <c r="I28" s="31" t="s">
        <v>214</v>
      </c>
      <c r="J28" s="30" t="s">
        <v>214</v>
      </c>
      <c r="K28" s="31" t="s">
        <v>209</v>
      </c>
      <c r="L28" s="45">
        <v>1</v>
      </c>
      <c r="M28" s="32">
        <f>L28*5</f>
        <v>5</v>
      </c>
      <c r="N28" s="31">
        <v>20</v>
      </c>
      <c r="O28" s="30">
        <v>10</v>
      </c>
      <c r="P28" s="30">
        <v>20</v>
      </c>
      <c r="Q28" s="58" t="s">
        <v>207</v>
      </c>
      <c r="R28" s="35">
        <v>2.76E-2</v>
      </c>
      <c r="S28" s="35">
        <f t="shared" si="1"/>
        <v>0.55200000000000005</v>
      </c>
      <c r="T28" s="35">
        <v>2.76E-2</v>
      </c>
      <c r="U28" s="35">
        <f t="shared" si="2"/>
        <v>0.55200000000000005</v>
      </c>
      <c r="V28" s="32"/>
    </row>
    <row r="29" spans="1:22" ht="24.75" thickBot="1" x14ac:dyDescent="0.3">
      <c r="A29" s="1"/>
      <c r="B29" s="26">
        <f>ROW(B29) - ROW($B$9)</f>
        <v>20</v>
      </c>
      <c r="C29" s="33" t="s">
        <v>188</v>
      </c>
      <c r="D29" s="75" t="s">
        <v>29</v>
      </c>
      <c r="E29" s="43" t="s">
        <v>61</v>
      </c>
      <c r="F29" s="33" t="s">
        <v>89</v>
      </c>
      <c r="G29" s="34" t="s">
        <v>209</v>
      </c>
      <c r="H29" s="33" t="s">
        <v>209</v>
      </c>
      <c r="I29" s="34"/>
      <c r="J29" s="33" t="s">
        <v>209</v>
      </c>
      <c r="K29" s="34"/>
      <c r="L29" s="33" t="s">
        <v>209</v>
      </c>
      <c r="M29" s="44" t="s">
        <v>209</v>
      </c>
      <c r="N29" s="34" t="s">
        <v>209</v>
      </c>
      <c r="O29" s="33" t="s">
        <v>209</v>
      </c>
      <c r="P29" s="33" t="s">
        <v>209</v>
      </c>
      <c r="Q29" s="59" t="s">
        <v>209</v>
      </c>
      <c r="R29" s="36" t="s">
        <v>209</v>
      </c>
      <c r="S29" s="36" t="s">
        <v>209</v>
      </c>
      <c r="T29" s="36" t="s">
        <v>209</v>
      </c>
      <c r="U29" s="36" t="s">
        <v>209</v>
      </c>
      <c r="V29" s="44"/>
    </row>
    <row r="30" spans="1:22" ht="15.75" thickBot="1" x14ac:dyDescent="0.3">
      <c r="A30" s="1"/>
      <c r="B30" s="26">
        <f>ROW(B30) - ROW($B$9)</f>
        <v>21</v>
      </c>
      <c r="C30" s="30" t="s">
        <v>185</v>
      </c>
      <c r="D30" s="74" t="s">
        <v>30</v>
      </c>
      <c r="E30" s="46" t="s">
        <v>62</v>
      </c>
      <c r="F30" s="30" t="s">
        <v>90</v>
      </c>
      <c r="G30" s="31">
        <v>61300211121</v>
      </c>
      <c r="H30" s="30" t="s">
        <v>133</v>
      </c>
      <c r="I30" s="31" t="s">
        <v>215</v>
      </c>
      <c r="J30" s="30" t="s">
        <v>216</v>
      </c>
      <c r="K30" s="31" t="s">
        <v>209</v>
      </c>
      <c r="L30" s="45">
        <v>1</v>
      </c>
      <c r="M30" s="32">
        <f t="shared" ref="M30" si="11">L30*5</f>
        <v>5</v>
      </c>
      <c r="N30" s="31">
        <v>50</v>
      </c>
      <c r="O30" s="30">
        <v>10</v>
      </c>
      <c r="P30" s="30">
        <v>50</v>
      </c>
      <c r="Q30" s="58" t="s">
        <v>207</v>
      </c>
      <c r="R30" s="35">
        <v>1.3299999999999999E-2</v>
      </c>
      <c r="S30" s="35">
        <f t="shared" si="1"/>
        <v>0.66499999999999992</v>
      </c>
      <c r="T30" s="35">
        <v>1.3299999999999999E-2</v>
      </c>
      <c r="U30" s="35">
        <f t="shared" si="2"/>
        <v>0.66499999999999992</v>
      </c>
      <c r="V30" s="32"/>
    </row>
    <row r="31" spans="1:22" ht="24.75" thickBot="1" x14ac:dyDescent="0.3">
      <c r="A31" s="1"/>
      <c r="B31" s="26">
        <f>ROW(B31) - ROW($B$9)</f>
        <v>22</v>
      </c>
      <c r="C31" s="33" t="s">
        <v>9</v>
      </c>
      <c r="D31" s="75" t="s">
        <v>31</v>
      </c>
      <c r="E31" s="43" t="s">
        <v>63</v>
      </c>
      <c r="F31" s="33" t="s">
        <v>91</v>
      </c>
      <c r="G31" s="34" t="s">
        <v>114</v>
      </c>
      <c r="H31" s="33" t="s">
        <v>136</v>
      </c>
      <c r="I31" s="34" t="s">
        <v>239</v>
      </c>
      <c r="J31" s="33" t="s">
        <v>240</v>
      </c>
      <c r="K31" s="34" t="s">
        <v>209</v>
      </c>
      <c r="L31" s="33">
        <v>6</v>
      </c>
      <c r="M31" s="44">
        <f>L31*5</f>
        <v>30</v>
      </c>
      <c r="N31" s="34">
        <v>30</v>
      </c>
      <c r="O31" s="33">
        <v>60</v>
      </c>
      <c r="P31" s="33">
        <v>60</v>
      </c>
      <c r="Q31" s="59" t="s">
        <v>207</v>
      </c>
      <c r="R31" s="36">
        <v>0.57279999999999998</v>
      </c>
      <c r="S31" s="36">
        <f t="shared" si="1"/>
        <v>17.183999999999997</v>
      </c>
      <c r="T31" s="36">
        <v>0.57279999999999998</v>
      </c>
      <c r="U31" s="36">
        <f t="shared" si="2"/>
        <v>34.367999999999995</v>
      </c>
      <c r="V31" s="44"/>
    </row>
    <row r="32" spans="1:22" ht="15.75" thickBot="1" x14ac:dyDescent="0.3">
      <c r="A32" s="1"/>
      <c r="B32" s="26">
        <f>ROW(B32) - ROW($B$9)</f>
        <v>23</v>
      </c>
      <c r="C32" s="30" t="s">
        <v>10</v>
      </c>
      <c r="D32" s="74" t="s">
        <v>251</v>
      </c>
      <c r="E32" s="46" t="s">
        <v>66</v>
      </c>
      <c r="F32" s="30" t="s">
        <v>94</v>
      </c>
      <c r="G32" s="31" t="s">
        <v>117</v>
      </c>
      <c r="H32" s="30" t="s">
        <v>138</v>
      </c>
      <c r="I32" s="31" t="s">
        <v>219</v>
      </c>
      <c r="J32" s="30" t="s">
        <v>220</v>
      </c>
      <c r="K32" s="31" t="s">
        <v>176</v>
      </c>
      <c r="L32" s="45">
        <v>4</v>
      </c>
      <c r="M32" s="32">
        <f>L32*5</f>
        <v>20</v>
      </c>
      <c r="N32" s="31">
        <v>100</v>
      </c>
      <c r="O32" s="30">
        <v>40</v>
      </c>
      <c r="P32" s="30">
        <v>100</v>
      </c>
      <c r="Q32" s="58" t="s">
        <v>207</v>
      </c>
      <c r="R32" s="35">
        <v>1.6000000000000001E-3</v>
      </c>
      <c r="S32" s="35">
        <f t="shared" si="1"/>
        <v>0.16</v>
      </c>
      <c r="T32" s="35">
        <v>1.6000000000000001E-3</v>
      </c>
      <c r="U32" s="35">
        <f t="shared" si="2"/>
        <v>0.16</v>
      </c>
      <c r="V32" s="32"/>
    </row>
    <row r="33" spans="1:22" ht="15.75" thickBot="1" x14ac:dyDescent="0.3">
      <c r="A33" s="1"/>
      <c r="B33" s="26">
        <f>ROW(B33) - ROW($B$9)</f>
        <v>24</v>
      </c>
      <c r="C33" s="33" t="s">
        <v>10</v>
      </c>
      <c r="D33" s="75" t="s">
        <v>229</v>
      </c>
      <c r="E33" s="43" t="s">
        <v>71</v>
      </c>
      <c r="F33" s="33" t="s">
        <v>92</v>
      </c>
      <c r="G33" s="34" t="s">
        <v>122</v>
      </c>
      <c r="H33" s="33" t="s">
        <v>128</v>
      </c>
      <c r="I33" s="34"/>
      <c r="J33" s="33" t="s">
        <v>161</v>
      </c>
      <c r="K33" s="34" t="s">
        <v>181</v>
      </c>
      <c r="L33" s="33">
        <v>1</v>
      </c>
      <c r="M33" s="44">
        <f>L33*5</f>
        <v>5</v>
      </c>
      <c r="N33" s="34">
        <v>100</v>
      </c>
      <c r="O33" s="33">
        <v>10</v>
      </c>
      <c r="P33" s="33">
        <v>100</v>
      </c>
      <c r="Q33" s="59" t="s">
        <v>207</v>
      </c>
      <c r="R33" s="36">
        <v>1.1999999999999999E-3</v>
      </c>
      <c r="S33" s="36">
        <f t="shared" si="1"/>
        <v>0.12</v>
      </c>
      <c r="T33" s="36">
        <v>1.1999999999999999E-3</v>
      </c>
      <c r="U33" s="36">
        <f t="shared" si="2"/>
        <v>0.12</v>
      </c>
      <c r="V33" s="44"/>
    </row>
    <row r="34" spans="1:22" ht="15.75" thickBot="1" x14ac:dyDescent="0.3">
      <c r="A34" s="1"/>
      <c r="B34" s="26">
        <f>ROW(B34) - ROW($B$9)</f>
        <v>25</v>
      </c>
      <c r="C34" s="30" t="s">
        <v>10</v>
      </c>
      <c r="D34" s="74" t="s">
        <v>32</v>
      </c>
      <c r="E34" s="46" t="s">
        <v>64</v>
      </c>
      <c r="F34" s="30" t="s">
        <v>93</v>
      </c>
      <c r="G34" s="31" t="s">
        <v>115</v>
      </c>
      <c r="H34" s="30" t="s">
        <v>128</v>
      </c>
      <c r="I34" s="31"/>
      <c r="J34" s="30" t="s">
        <v>241</v>
      </c>
      <c r="K34" s="31" t="s">
        <v>174</v>
      </c>
      <c r="L34" s="45">
        <v>3</v>
      </c>
      <c r="M34" s="32">
        <f>L34*5</f>
        <v>15</v>
      </c>
      <c r="N34" s="31">
        <v>100</v>
      </c>
      <c r="O34" s="30">
        <v>30</v>
      </c>
      <c r="P34" s="30">
        <v>100</v>
      </c>
      <c r="Q34" s="58" t="s">
        <v>207</v>
      </c>
      <c r="R34" s="35">
        <v>1E-3</v>
      </c>
      <c r="S34" s="35">
        <f t="shared" si="1"/>
        <v>0.1</v>
      </c>
      <c r="T34" s="35">
        <v>1E-3</v>
      </c>
      <c r="U34" s="35">
        <f t="shared" si="2"/>
        <v>0.1</v>
      </c>
      <c r="V34" s="32"/>
    </row>
    <row r="35" spans="1:22" ht="15.75" thickBot="1" x14ac:dyDescent="0.3">
      <c r="A35" s="1"/>
      <c r="B35" s="26">
        <f t="shared" si="0"/>
        <v>26</v>
      </c>
      <c r="C35" s="33" t="s">
        <v>10</v>
      </c>
      <c r="D35" s="75" t="s">
        <v>33</v>
      </c>
      <c r="E35" s="43" t="s">
        <v>65</v>
      </c>
      <c r="F35" s="33" t="s">
        <v>94</v>
      </c>
      <c r="G35" s="34" t="s">
        <v>116</v>
      </c>
      <c r="H35" s="33" t="s">
        <v>137</v>
      </c>
      <c r="I35" s="34" t="s">
        <v>218</v>
      </c>
      <c r="J35" s="33" t="s">
        <v>217</v>
      </c>
      <c r="K35" s="34" t="s">
        <v>175</v>
      </c>
      <c r="L35" s="33">
        <v>6</v>
      </c>
      <c r="M35" s="44">
        <f t="shared" ref="M35" si="12">L35*5</f>
        <v>30</v>
      </c>
      <c r="N35" s="34">
        <v>40</v>
      </c>
      <c r="O35" s="33">
        <v>60</v>
      </c>
      <c r="P35" s="33">
        <v>60</v>
      </c>
      <c r="Q35" s="59" t="s">
        <v>207</v>
      </c>
      <c r="R35" s="36">
        <v>3.0599999999999999E-2</v>
      </c>
      <c r="S35" s="36">
        <f t="shared" si="1"/>
        <v>1.224</v>
      </c>
      <c r="T35" s="36">
        <v>3.0599999999999999E-2</v>
      </c>
      <c r="U35" s="36">
        <f t="shared" si="2"/>
        <v>1.8359999999999999</v>
      </c>
      <c r="V35" s="44"/>
    </row>
    <row r="36" spans="1:22" ht="15.75" thickBot="1" x14ac:dyDescent="0.3">
      <c r="A36" s="1"/>
      <c r="B36" s="26">
        <f t="shared" si="0"/>
        <v>27</v>
      </c>
      <c r="C36" s="30" t="s">
        <v>10</v>
      </c>
      <c r="D36" s="74" t="s">
        <v>34</v>
      </c>
      <c r="E36" s="46" t="s">
        <v>67</v>
      </c>
      <c r="F36" s="30" t="s">
        <v>92</v>
      </c>
      <c r="G36" s="31" t="s">
        <v>118</v>
      </c>
      <c r="H36" s="30" t="s">
        <v>139</v>
      </c>
      <c r="I36" s="31"/>
      <c r="J36" s="30" t="s">
        <v>159</v>
      </c>
      <c r="K36" s="31" t="s">
        <v>177</v>
      </c>
      <c r="L36" s="45">
        <v>3</v>
      </c>
      <c r="M36" s="32">
        <f t="shared" ref="M36" si="13">L36*5</f>
        <v>15</v>
      </c>
      <c r="N36" s="31">
        <v>20</v>
      </c>
      <c r="O36" s="30">
        <v>30</v>
      </c>
      <c r="P36" s="30">
        <v>40</v>
      </c>
      <c r="Q36" s="58" t="s">
        <v>207</v>
      </c>
      <c r="R36" s="35">
        <v>3.2199999999999999E-2</v>
      </c>
      <c r="S36" s="35">
        <f t="shared" si="1"/>
        <v>0.64400000000000002</v>
      </c>
      <c r="T36" s="35">
        <v>3.2199999999999999E-2</v>
      </c>
      <c r="U36" s="35">
        <f t="shared" si="2"/>
        <v>1.288</v>
      </c>
      <c r="V36" s="32"/>
    </row>
    <row r="37" spans="1:22" ht="24.75" thickBot="1" x14ac:dyDescent="0.3">
      <c r="A37" s="1"/>
      <c r="B37" s="26">
        <f>ROW(B37) - ROW($B$9)</f>
        <v>28</v>
      </c>
      <c r="C37" s="33" t="s">
        <v>10</v>
      </c>
      <c r="D37" s="76" t="s">
        <v>35</v>
      </c>
      <c r="E37" s="33" t="s">
        <v>253</v>
      </c>
      <c r="F37" s="33" t="s">
        <v>254</v>
      </c>
      <c r="G37" s="33" t="s">
        <v>255</v>
      </c>
      <c r="H37" s="33" t="s">
        <v>128</v>
      </c>
      <c r="I37" s="33"/>
      <c r="J37" s="33" t="s">
        <v>256</v>
      </c>
      <c r="K37" s="33" t="s">
        <v>257</v>
      </c>
      <c r="L37" s="33">
        <v>3</v>
      </c>
      <c r="M37" s="44">
        <f>L37*5</f>
        <v>15</v>
      </c>
      <c r="N37" s="34">
        <v>50</v>
      </c>
      <c r="O37" s="33">
        <v>30</v>
      </c>
      <c r="P37" s="33">
        <v>50</v>
      </c>
      <c r="Q37" s="59"/>
      <c r="R37" s="36"/>
      <c r="S37" s="36">
        <f t="shared" si="1"/>
        <v>0</v>
      </c>
      <c r="T37" s="36"/>
      <c r="U37" s="36">
        <f t="shared" si="2"/>
        <v>0</v>
      </c>
      <c r="V37" s="44"/>
    </row>
    <row r="38" spans="1:22" ht="15.75" thickBot="1" x14ac:dyDescent="0.3">
      <c r="A38" s="1"/>
      <c r="B38" s="26">
        <f t="shared" si="0"/>
        <v>29</v>
      </c>
      <c r="C38" s="30" t="s">
        <v>10</v>
      </c>
      <c r="D38" s="74" t="s">
        <v>36</v>
      </c>
      <c r="E38" s="46" t="s">
        <v>68</v>
      </c>
      <c r="F38" s="30" t="s">
        <v>92</v>
      </c>
      <c r="G38" s="31" t="s">
        <v>119</v>
      </c>
      <c r="H38" s="30" t="s">
        <v>128</v>
      </c>
      <c r="I38" s="31"/>
      <c r="J38" s="30" t="s">
        <v>242</v>
      </c>
      <c r="K38" s="31" t="s">
        <v>178</v>
      </c>
      <c r="L38" s="45">
        <v>1</v>
      </c>
      <c r="M38" s="32">
        <f t="shared" ref="M38" si="14">L38*5</f>
        <v>5</v>
      </c>
      <c r="N38" s="31">
        <v>100</v>
      </c>
      <c r="O38" s="30">
        <v>10</v>
      </c>
      <c r="P38" s="30">
        <v>100</v>
      </c>
      <c r="Q38" s="58" t="s">
        <v>207</v>
      </c>
      <c r="R38" s="35">
        <v>1.1999999999999999E-3</v>
      </c>
      <c r="S38" s="35">
        <f t="shared" si="1"/>
        <v>0.12</v>
      </c>
      <c r="T38" s="35">
        <v>1.1999999999999999E-3</v>
      </c>
      <c r="U38" s="35">
        <f t="shared" si="2"/>
        <v>0.12</v>
      </c>
      <c r="V38" s="32"/>
    </row>
    <row r="39" spans="1:22" ht="15.75" thickBot="1" x14ac:dyDescent="0.3">
      <c r="A39" s="1"/>
      <c r="B39" s="26">
        <f>ROW(B39) - ROW($B$9)</f>
        <v>30</v>
      </c>
      <c r="C39" s="33" t="s">
        <v>10</v>
      </c>
      <c r="D39" s="75" t="s">
        <v>37</v>
      </c>
      <c r="E39" s="43" t="s">
        <v>69</v>
      </c>
      <c r="F39" s="33" t="s">
        <v>95</v>
      </c>
      <c r="G39" s="34" t="s">
        <v>120</v>
      </c>
      <c r="H39" s="33" t="s">
        <v>140</v>
      </c>
      <c r="I39" s="34" t="s">
        <v>221</v>
      </c>
      <c r="J39" s="33" t="s">
        <v>222</v>
      </c>
      <c r="K39" s="34" t="s">
        <v>179</v>
      </c>
      <c r="L39" s="33">
        <v>1</v>
      </c>
      <c r="M39" s="44">
        <f>L39*5</f>
        <v>5</v>
      </c>
      <c r="N39" s="34">
        <v>100</v>
      </c>
      <c r="O39" s="33">
        <v>10</v>
      </c>
      <c r="P39" s="33">
        <v>100</v>
      </c>
      <c r="Q39" s="59" t="s">
        <v>207</v>
      </c>
      <c r="R39" s="36">
        <v>5.9999999999999995E-4</v>
      </c>
      <c r="S39" s="36">
        <f t="shared" si="1"/>
        <v>0.06</v>
      </c>
      <c r="T39" s="36">
        <v>5.9999999999999995E-4</v>
      </c>
      <c r="U39" s="36">
        <f t="shared" si="2"/>
        <v>0.06</v>
      </c>
      <c r="V39" s="44"/>
    </row>
    <row r="40" spans="1:22" ht="36.75" customHeight="1" thickBot="1" x14ac:dyDescent="0.3">
      <c r="A40" s="1"/>
      <c r="B40" s="26">
        <f t="shared" si="0"/>
        <v>31</v>
      </c>
      <c r="C40" s="30" t="s">
        <v>10</v>
      </c>
      <c r="D40" s="74" t="s">
        <v>38</v>
      </c>
      <c r="E40" s="46" t="s">
        <v>70</v>
      </c>
      <c r="F40" s="30" t="s">
        <v>96</v>
      </c>
      <c r="G40" s="31" t="s">
        <v>121</v>
      </c>
      <c r="H40" s="30" t="s">
        <v>141</v>
      </c>
      <c r="I40" s="31"/>
      <c r="J40" s="30" t="s">
        <v>160</v>
      </c>
      <c r="K40" s="31" t="s">
        <v>180</v>
      </c>
      <c r="L40" s="45">
        <v>1</v>
      </c>
      <c r="M40" s="32">
        <f t="shared" ref="M40" si="15">L40*5</f>
        <v>5</v>
      </c>
      <c r="N40" s="31">
        <v>10</v>
      </c>
      <c r="O40" s="30">
        <v>10</v>
      </c>
      <c r="P40" s="30">
        <v>10</v>
      </c>
      <c r="Q40" s="58" t="s">
        <v>207</v>
      </c>
      <c r="R40" s="35">
        <v>4.53E-2</v>
      </c>
      <c r="S40" s="35">
        <f t="shared" si="1"/>
        <v>0.45300000000000001</v>
      </c>
      <c r="T40" s="35">
        <v>4.53E-2</v>
      </c>
      <c r="U40" s="35">
        <f t="shared" si="2"/>
        <v>0.45300000000000001</v>
      </c>
      <c r="V40" s="32" t="s">
        <v>250</v>
      </c>
    </row>
    <row r="41" spans="1:22" ht="15.75" thickBot="1" x14ac:dyDescent="0.3">
      <c r="A41" s="1"/>
      <c r="B41" s="26"/>
      <c r="C41" s="33" t="s">
        <v>10</v>
      </c>
      <c r="D41" s="75" t="s">
        <v>234</v>
      </c>
      <c r="E41" s="43" t="s">
        <v>235</v>
      </c>
      <c r="F41" s="33" t="s">
        <v>92</v>
      </c>
      <c r="G41" s="34" t="s">
        <v>236</v>
      </c>
      <c r="H41" s="33" t="s">
        <v>128</v>
      </c>
      <c r="I41" s="34"/>
      <c r="J41" s="33" t="s">
        <v>238</v>
      </c>
      <c r="K41" s="34" t="s">
        <v>237</v>
      </c>
      <c r="L41" s="33">
        <v>1</v>
      </c>
      <c r="M41" s="44">
        <v>5</v>
      </c>
      <c r="N41" s="34">
        <v>100</v>
      </c>
      <c r="O41" s="33">
        <v>10</v>
      </c>
      <c r="P41" s="33">
        <v>100</v>
      </c>
      <c r="Q41" s="59" t="s">
        <v>207</v>
      </c>
      <c r="R41" s="36">
        <v>1.1000000000000001E-3</v>
      </c>
      <c r="S41" s="36">
        <f t="shared" si="1"/>
        <v>0.11</v>
      </c>
      <c r="T41" s="36">
        <v>1.1000000000000001E-3</v>
      </c>
      <c r="U41" s="36">
        <f t="shared" si="2"/>
        <v>0.11</v>
      </c>
      <c r="V41" s="44"/>
    </row>
    <row r="42" spans="1:22" ht="24.75" thickBot="1" x14ac:dyDescent="0.3">
      <c r="A42" s="1"/>
      <c r="B42" s="26">
        <f>ROW(B42) - ROW($B$9)</f>
        <v>33</v>
      </c>
      <c r="C42" s="30" t="s">
        <v>189</v>
      </c>
      <c r="D42" s="74" t="s">
        <v>39</v>
      </c>
      <c r="E42" s="46" t="s">
        <v>72</v>
      </c>
      <c r="F42" s="30" t="s">
        <v>97</v>
      </c>
      <c r="G42" s="31" t="s">
        <v>123</v>
      </c>
      <c r="H42" s="30" t="s">
        <v>142</v>
      </c>
      <c r="I42" s="31"/>
      <c r="J42" s="30" t="s">
        <v>162</v>
      </c>
      <c r="K42" s="31" t="s">
        <v>209</v>
      </c>
      <c r="L42" s="45">
        <v>1</v>
      </c>
      <c r="M42" s="32">
        <f>L42*5</f>
        <v>5</v>
      </c>
      <c r="N42" s="31">
        <v>10</v>
      </c>
      <c r="O42" s="30">
        <v>10</v>
      </c>
      <c r="P42" s="30">
        <v>10</v>
      </c>
      <c r="Q42" s="58" t="s">
        <v>207</v>
      </c>
      <c r="R42" s="35">
        <v>5.7599999999999998E-2</v>
      </c>
      <c r="S42" s="35">
        <f t="shared" si="1"/>
        <v>0.57599999999999996</v>
      </c>
      <c r="T42" s="35">
        <v>5.7599999999999998E-2</v>
      </c>
      <c r="U42" s="35">
        <f t="shared" si="2"/>
        <v>0.57599999999999996</v>
      </c>
      <c r="V42" s="32"/>
    </row>
    <row r="43" spans="1:22" ht="30.75" thickBot="1" x14ac:dyDescent="0.3">
      <c r="A43" s="1"/>
      <c r="B43" s="26">
        <f t="shared" si="0"/>
        <v>34</v>
      </c>
      <c r="C43" s="33" t="s">
        <v>11</v>
      </c>
      <c r="D43" s="75" t="s">
        <v>40</v>
      </c>
      <c r="E43" s="43" t="s">
        <v>73</v>
      </c>
      <c r="F43" s="33" t="s">
        <v>98</v>
      </c>
      <c r="G43" s="34" t="s">
        <v>124</v>
      </c>
      <c r="H43" s="33" t="s">
        <v>143</v>
      </c>
      <c r="I43" s="34"/>
      <c r="J43" s="33"/>
      <c r="K43" s="34" t="s">
        <v>209</v>
      </c>
      <c r="L43" s="33">
        <v>1</v>
      </c>
      <c r="M43" s="44">
        <f t="shared" ref="M43:M44" si="16">L43*5</f>
        <v>5</v>
      </c>
      <c r="N43" s="34">
        <v>5</v>
      </c>
      <c r="O43" s="33">
        <v>10</v>
      </c>
      <c r="P43" s="33">
        <v>10</v>
      </c>
      <c r="Q43" s="59" t="s">
        <v>248</v>
      </c>
      <c r="R43" s="36">
        <v>6.5</v>
      </c>
      <c r="S43" s="36">
        <f t="shared" si="1"/>
        <v>32.5</v>
      </c>
      <c r="T43" s="36">
        <v>6.5</v>
      </c>
      <c r="U43" s="36">
        <f t="shared" si="2"/>
        <v>65</v>
      </c>
      <c r="V43" s="44" t="s">
        <v>249</v>
      </c>
    </row>
    <row r="44" spans="1:22" ht="36.75" thickBot="1" x14ac:dyDescent="0.3">
      <c r="A44" s="62"/>
      <c r="B44" s="26">
        <f t="shared" si="0"/>
        <v>35</v>
      </c>
      <c r="C44" s="30" t="s">
        <v>11</v>
      </c>
      <c r="D44" s="74" t="s">
        <v>41</v>
      </c>
      <c r="E44" s="46" t="s">
        <v>230</v>
      </c>
      <c r="F44" s="30" t="s">
        <v>231</v>
      </c>
      <c r="G44" s="31" t="s">
        <v>232</v>
      </c>
      <c r="H44" s="30" t="s">
        <v>233</v>
      </c>
      <c r="I44" s="31"/>
      <c r="J44" s="30"/>
      <c r="K44" s="31" t="s">
        <v>209</v>
      </c>
      <c r="L44" s="45">
        <v>1</v>
      </c>
      <c r="M44" s="32">
        <f t="shared" si="16"/>
        <v>5</v>
      </c>
      <c r="N44" s="31">
        <v>5</v>
      </c>
      <c r="O44" s="30">
        <v>10</v>
      </c>
      <c r="P44" s="30">
        <v>10</v>
      </c>
      <c r="Q44" s="58" t="s">
        <v>248</v>
      </c>
      <c r="R44" s="35">
        <v>6.5</v>
      </c>
      <c r="S44" s="35">
        <f t="shared" si="1"/>
        <v>32.5</v>
      </c>
      <c r="T44" s="35">
        <v>6.5</v>
      </c>
      <c r="U44" s="35">
        <f t="shared" si="2"/>
        <v>65</v>
      </c>
      <c r="V44" s="32" t="s">
        <v>249</v>
      </c>
    </row>
    <row r="45" spans="1:22" ht="15.75" thickBot="1" x14ac:dyDescent="0.3">
      <c r="A45" s="1"/>
      <c r="B45" s="26">
        <f t="shared" si="0"/>
        <v>36</v>
      </c>
      <c r="C45" s="33" t="s">
        <v>11</v>
      </c>
      <c r="D45" s="75" t="s">
        <v>42</v>
      </c>
      <c r="E45" s="43" t="s">
        <v>74</v>
      </c>
      <c r="F45" s="33" t="s">
        <v>99</v>
      </c>
      <c r="G45" s="34" t="s">
        <v>125</v>
      </c>
      <c r="H45" s="33" t="s">
        <v>144</v>
      </c>
      <c r="I45" s="34"/>
      <c r="J45" s="33" t="s">
        <v>223</v>
      </c>
      <c r="K45" s="34" t="s">
        <v>209</v>
      </c>
      <c r="L45" s="33">
        <v>1</v>
      </c>
      <c r="M45" s="44">
        <f t="shared" ref="M45" si="17">L45*5</f>
        <v>5</v>
      </c>
      <c r="N45" s="34">
        <v>5</v>
      </c>
      <c r="O45" s="33">
        <v>10</v>
      </c>
      <c r="P45" s="33">
        <v>10</v>
      </c>
      <c r="Q45" s="59" t="s">
        <v>207</v>
      </c>
      <c r="R45" s="36">
        <v>1.2919</v>
      </c>
      <c r="S45" s="36">
        <f t="shared" si="1"/>
        <v>6.4595000000000002</v>
      </c>
      <c r="T45" s="36">
        <v>1.2919</v>
      </c>
      <c r="U45" s="36">
        <f t="shared" si="2"/>
        <v>12.919</v>
      </c>
      <c r="V45" s="44"/>
    </row>
    <row r="46" spans="1:22" ht="24.75" thickBot="1" x14ac:dyDescent="0.3">
      <c r="A46" s="1"/>
      <c r="B46" s="26">
        <f>ROW(B46) - ROW($B$9)</f>
        <v>37</v>
      </c>
      <c r="C46" s="30" t="s">
        <v>11</v>
      </c>
      <c r="D46" s="74" t="s">
        <v>43</v>
      </c>
      <c r="E46" s="46" t="s">
        <v>75</v>
      </c>
      <c r="F46" s="30" t="s">
        <v>100</v>
      </c>
      <c r="G46" s="31" t="s">
        <v>126</v>
      </c>
      <c r="H46" s="30" t="s">
        <v>145</v>
      </c>
      <c r="I46" s="31"/>
      <c r="J46" s="30" t="s">
        <v>163</v>
      </c>
      <c r="K46" s="31" t="s">
        <v>209</v>
      </c>
      <c r="L46" s="45">
        <v>1</v>
      </c>
      <c r="M46" s="32">
        <f>L46*5</f>
        <v>5</v>
      </c>
      <c r="N46" s="31">
        <v>5</v>
      </c>
      <c r="O46" s="30">
        <v>10</v>
      </c>
      <c r="P46" s="30">
        <v>10</v>
      </c>
      <c r="Q46" s="58" t="s">
        <v>207</v>
      </c>
      <c r="R46" s="35">
        <v>7.6300000000000007E-2</v>
      </c>
      <c r="S46" s="35">
        <f t="shared" si="1"/>
        <v>0.38150000000000006</v>
      </c>
      <c r="T46" s="35">
        <v>7.6300000000000007E-2</v>
      </c>
      <c r="U46" s="35">
        <f t="shared" si="2"/>
        <v>0.76300000000000012</v>
      </c>
      <c r="V46" s="32"/>
    </row>
    <row r="47" spans="1:22" ht="15.75" x14ac:dyDescent="0.25">
      <c r="A47" s="1"/>
      <c r="B47" s="22"/>
      <c r="C47" s="28"/>
      <c r="D47" s="23"/>
      <c r="E47" s="47"/>
      <c r="F47" s="24"/>
      <c r="G47" s="25"/>
      <c r="H47" s="24"/>
      <c r="I47" s="25"/>
      <c r="J47" s="24"/>
      <c r="K47" s="25"/>
      <c r="L47" s="49"/>
      <c r="M47" s="25"/>
      <c r="N47" s="25"/>
      <c r="O47" s="25"/>
      <c r="P47" s="25"/>
      <c r="Q47" s="70" t="s">
        <v>224</v>
      </c>
      <c r="R47" s="71"/>
      <c r="S47" s="60">
        <f>SUM(S10:S46)</f>
        <v>107.27249999999999</v>
      </c>
      <c r="T47" s="25"/>
      <c r="U47" s="60" t="e">
        <f>SUM(U10:U46)</f>
        <v>#VALUE!</v>
      </c>
      <c r="V47" s="68"/>
    </row>
    <row r="48" spans="1:22" ht="16.5" thickBot="1" x14ac:dyDescent="0.3">
      <c r="A48" s="1"/>
      <c r="B48" s="18"/>
      <c r="C48" s="29"/>
      <c r="D48" s="7"/>
      <c r="E48" s="4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72" t="s">
        <v>225</v>
      </c>
      <c r="R48" s="73"/>
      <c r="S48" s="61">
        <f>(S47/5)</f>
        <v>21.454499999999999</v>
      </c>
      <c r="T48" s="8"/>
      <c r="U48" s="61" t="e">
        <f>(U47/10)</f>
        <v>#VALUE!</v>
      </c>
      <c r="V48" s="69"/>
    </row>
  </sheetData>
  <mergeCells count="5">
    <mergeCell ref="K1:V1"/>
    <mergeCell ref="V3:V8"/>
    <mergeCell ref="V47:V48"/>
    <mergeCell ref="Q47:R47"/>
    <mergeCell ref="Q48:R48"/>
  </mergeCells>
  <hyperlinks>
    <hyperlink ref="H10" r:id="rId1" display="https://www.lcsc.com/brand-detail/994.html" xr:uid="{00000000-0004-0000-0000-000000000000}"/>
    <hyperlink ref="Q10" r:id="rId2" xr:uid="{00000000-0004-0000-0000-000001000000}"/>
    <hyperlink ref="Q11" r:id="rId3" xr:uid="{00000000-0004-0000-0000-000002000000}"/>
    <hyperlink ref="Q13" r:id="rId4" xr:uid="{00000000-0004-0000-0000-000003000000}"/>
    <hyperlink ref="Q12" r:id="rId5" xr:uid="{00000000-0004-0000-0000-000004000000}"/>
    <hyperlink ref="Q14" r:id="rId6" xr:uid="{00000000-0004-0000-0000-000005000000}"/>
    <hyperlink ref="Q15" r:id="rId7" xr:uid="{00000000-0004-0000-0000-000006000000}"/>
    <hyperlink ref="Q16" r:id="rId8" xr:uid="{00000000-0004-0000-0000-000007000000}"/>
    <hyperlink ref="Q17" r:id="rId9" xr:uid="{00000000-0004-0000-0000-000008000000}"/>
    <hyperlink ref="Q19" r:id="rId10" xr:uid="{00000000-0004-0000-0000-000009000000}"/>
    <hyperlink ref="Q21" r:id="rId11" xr:uid="{00000000-0004-0000-0000-00000A000000}"/>
    <hyperlink ref="Q22" r:id="rId12" xr:uid="{00000000-0004-0000-0000-00000B000000}"/>
    <hyperlink ref="Q18" r:id="rId13" xr:uid="{00000000-0004-0000-0000-00000C000000}"/>
    <hyperlink ref="Q20" r:id="rId14" xr:uid="{00000000-0004-0000-0000-00000D000000}"/>
    <hyperlink ref="Q28" r:id="rId15" xr:uid="{00000000-0004-0000-0000-00000E000000}"/>
    <hyperlink ref="Q30" r:id="rId16" xr:uid="{00000000-0004-0000-0000-00000F000000}"/>
    <hyperlink ref="Q23" r:id="rId17" xr:uid="{00000000-0004-0000-0000-000010000000}"/>
    <hyperlink ref="Q24" r:id="rId18" xr:uid="{00000000-0004-0000-0000-000011000000}"/>
    <hyperlink ref="Q25" r:id="rId19" xr:uid="{00000000-0004-0000-0000-000012000000}"/>
    <hyperlink ref="Q31" r:id="rId20" xr:uid="{00000000-0004-0000-0000-000013000000}"/>
    <hyperlink ref="Q26" r:id="rId21" xr:uid="{00000000-0004-0000-0000-000014000000}"/>
    <hyperlink ref="Q34" r:id="rId22" xr:uid="{00000000-0004-0000-0000-000015000000}"/>
    <hyperlink ref="Q35" r:id="rId23" xr:uid="{00000000-0004-0000-0000-000016000000}"/>
    <hyperlink ref="Q32" r:id="rId24" xr:uid="{00000000-0004-0000-0000-000017000000}"/>
    <hyperlink ref="Q36" r:id="rId25" xr:uid="{00000000-0004-0000-0000-000018000000}"/>
    <hyperlink ref="Q38" r:id="rId26" xr:uid="{00000000-0004-0000-0000-00001A000000}"/>
    <hyperlink ref="Q39" r:id="rId27" xr:uid="{00000000-0004-0000-0000-00001B000000}"/>
    <hyperlink ref="Q40" r:id="rId28" xr:uid="{00000000-0004-0000-0000-00001C000000}"/>
    <hyperlink ref="Q33" r:id="rId29" xr:uid="{00000000-0004-0000-0000-00001D000000}"/>
    <hyperlink ref="Q46" r:id="rId30" xr:uid="{00000000-0004-0000-0000-00001E000000}"/>
    <hyperlink ref="Q45" r:id="rId31" xr:uid="{00000000-0004-0000-0000-00001F000000}"/>
    <hyperlink ref="Q41" r:id="rId32" xr:uid="{00000000-0004-0000-0000-000020000000}"/>
    <hyperlink ref="Q42" r:id="rId33" xr:uid="{00000000-0004-0000-0000-000021000000}"/>
  </hyperlinks>
  <pageMargins left="0.7" right="0.7" top="0.75" bottom="0.75" header="0.3" footer="0.3"/>
  <pageSetup paperSize="9" orientation="portrait" r:id="rId34"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2023-01-20T15:33:31Z</dcterms:modified>
</cp:coreProperties>
</file>