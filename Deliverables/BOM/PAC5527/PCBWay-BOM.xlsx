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hmood-PTZKeyboard\Deliverables\BOM\PAC5527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45" i="1" l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<sst xmlns="http://schemas.openxmlformats.org/spreadsheetml/2006/main" count="309" uniqueCount="233">
  <si>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</si>
  <si>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</si>
  <si>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</si>
  <si>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</si>
  <si>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</si>
  <si>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</si>
  <si>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</si>
  <si>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</si>
  <si>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Header</t>
  </si>
  <si>
    <t>Inductor</t>
  </si>
  <si>
    <t>Transistor</t>
  </si>
  <si>
    <t>Resistor</t>
  </si>
  <si>
    <t>IC</t>
  </si>
  <si>
    <t>Designator</t>
  </si>
  <si>
    <t>C1, C2</t>
  </si>
  <si>
    <t>C3, C10, C22</t>
  </si>
  <si>
    <t>C4, C7, C8, C9</t>
  </si>
  <si>
    <t>C5</t>
  </si>
  <si>
    <t>C6</t>
  </si>
  <si>
    <t>C11, C12</t>
  </si>
  <si>
    <t>C13, C14, C15</t>
  </si>
  <si>
    <t>C16, C17, C18</t>
  </si>
  <si>
    <t>C19, C20, C21</t>
  </si>
  <si>
    <t>C23, C24</t>
  </si>
  <si>
    <t>D1, D2, D3</t>
  </si>
  <si>
    <t>J1</t>
  </si>
  <si>
    <t>J2</t>
  </si>
  <si>
    <t>L1</t>
  </si>
  <si>
    <t>LED1, LED2</t>
  </si>
  <si>
    <t>P1, P2, P3, P4, P5</t>
  </si>
  <si>
    <t>P6</t>
  </si>
  <si>
    <t>P7, P8, P9, P10, P11, P12, P13, P14, P15, P16</t>
  </si>
  <si>
    <t>P17</t>
  </si>
  <si>
    <t>Q1, Q2, Q3, Q4, Q5, Q6</t>
  </si>
  <si>
    <t>R1</t>
  </si>
  <si>
    <t>R2</t>
  </si>
  <si>
    <t>R3, R4, R5</t>
  </si>
  <si>
    <t>R6, R7, R8, R18, R19, R20</t>
  </si>
  <si>
    <t>R9, R11, R16</t>
  </si>
  <si>
    <t>R10, R12, R17</t>
  </si>
  <si>
    <t>R13, R14, R15</t>
  </si>
  <si>
    <t>R21</t>
  </si>
  <si>
    <t>R22</t>
  </si>
  <si>
    <t>R23</t>
  </si>
  <si>
    <t>R24</t>
  </si>
  <si>
    <t>SW1</t>
  </si>
  <si>
    <t>U1</t>
  </si>
  <si>
    <t>U2</t>
  </si>
  <si>
    <t>U3</t>
  </si>
  <si>
    <t>U4</t>
  </si>
  <si>
    <t>Description</t>
  </si>
  <si>
    <t>CAP ALUM 220UF 20% 50V SMD</t>
  </si>
  <si>
    <t>CAP CER 0.1UF 100V X5R 0402</t>
  </si>
  <si>
    <t>CAP CER 2.2UF 25V X5R 0402</t>
  </si>
  <si>
    <t>CAP CER 4.7UF 50V 0402</t>
  </si>
  <si>
    <t>CAP CER 22UF 25V X5R 0805</t>
  </si>
  <si>
    <t>CAP CER 1UF 50V X7R 0603</t>
  </si>
  <si>
    <t>CAP CER 4.7UF 50V X5R 0805</t>
  </si>
  <si>
    <t>CAP CER 3.3nF 50V X7R 0402</t>
  </si>
  <si>
    <t>CAP CER 1000PF 100V X7R 0402</t>
  </si>
  <si>
    <t>CAP CER 10UF 10V X5R 0402</t>
  </si>
  <si>
    <t>DIODE GEN PURP 75V 150MA SOD323</t>
  </si>
  <si>
    <t>Green 520~535nm 0402 Light Emitting Diodes (LED) RoHS</t>
  </si>
  <si>
    <t>CONN HEADER 6 POS 2.54</t>
  </si>
  <si>
    <t>Test Point ON</t>
  </si>
  <si>
    <t>CONN HEADER VERT 2POS 2.54MM</t>
  </si>
  <si>
    <t>MOSFET N-CH 60V 100A SUPERSO8</t>
  </si>
  <si>
    <t>RES SMD 100K OHM 5% 1/5W 0603</t>
  </si>
  <si>
    <t>RES 120 OHM 1% 1/10W 0603</t>
  </si>
  <si>
    <t>RES 1 OHM 1% 1/16W 0402</t>
  </si>
  <si>
    <t>RES 100 OHM 1% 1/16W 0402</t>
  </si>
  <si>
    <t>RES 100K OHM 1% 1/16W 0402</t>
  </si>
  <si>
    <t>RES 4.3K OHM 0.1% 1/10W 0603</t>
  </si>
  <si>
    <t>Res 2512 0.002 Ohm 1% 3W ±100ppm/C Epoxy Pad SMD Automotive T/R</t>
  </si>
  <si>
    <t>RES SMD 200K OHM 0.5% 1/10W 0603</t>
  </si>
  <si>
    <t>RES SMD 1K OHM 5% 1/10W 0402</t>
  </si>
  <si>
    <t>Res Thick Film 0805 4.7K Ohm 1% 0.5W ±100ppm/°C Molded SMD SMD Paper T/R</t>
  </si>
  <si>
    <t>RES 0 OHM JUMPER 1/10W 0603</t>
  </si>
  <si>
    <t>3mm 2mm Round Button 50mA Top3.65mm SPST 12V SMD Tactile Switches</t>
  </si>
  <si>
    <t>PAC5527 48V BLDC Motor Controller and Driver Evaluation Board</t>
  </si>
  <si>
    <t>IC TXRX CAN 3.3V SOT23-8</t>
  </si>
  <si>
    <t>15V 1.3V @ 800mA Fixed 3.3V SOT-223 Linear Voltage Regulators (LDO) ROHS</t>
  </si>
  <si>
    <t>Footprint</t>
  </si>
  <si>
    <t>UCD-220uF-10mmDia</t>
  </si>
  <si>
    <t>Cap-0402</t>
  </si>
  <si>
    <t>Cap-0805</t>
  </si>
  <si>
    <t>Cap-0603</t>
  </si>
  <si>
    <t>SOD-323</t>
  </si>
  <si>
    <t>HDR1X4_</t>
  </si>
  <si>
    <t>HDR1X3_</t>
  </si>
  <si>
    <t>LED-0402</t>
  </si>
  <si>
    <t>HDR1X6_</t>
  </si>
  <si>
    <t>HDR1X2_</t>
  </si>
  <si>
    <t>PG-TDSON-8</t>
  </si>
  <si>
    <t>RES-0603</t>
  </si>
  <si>
    <t>Res-0603</t>
  </si>
  <si>
    <t>Res-0402</t>
  </si>
  <si>
    <t>RES-2512</t>
  </si>
  <si>
    <t>RES-0805</t>
  </si>
  <si>
    <t>48-QFN (6x6)_</t>
  </si>
  <si>
    <t>SOT-23-8</t>
  </si>
  <si>
    <t>SOT- 223</t>
  </si>
  <si>
    <t>Manufacturer Part Number</t>
  </si>
  <si>
    <t>UCD1H221MNL1GS</t>
  </si>
  <si>
    <t>GRM155R62A104KE14D</t>
  </si>
  <si>
    <t>GRM155R61E225KE11D</t>
  </si>
  <si>
    <t>EDK105BBJ475MVLF</t>
  </si>
  <si>
    <t>CL21A226MAYNNNE</t>
  </si>
  <si>
    <t>UMK107AB7105KA-T</t>
  </si>
  <si>
    <t>GRM21BR61H475KE51L</t>
  </si>
  <si>
    <t>CC0402KRX7R9BB332</t>
  </si>
  <si>
    <t>CC0402MRX5R6BB106</t>
  </si>
  <si>
    <t>1N4148WS-7-F</t>
  </si>
  <si>
    <t>B-2100S04P-A110</t>
  </si>
  <si>
    <t>B-2100S03P-A110</t>
  </si>
  <si>
    <t>SLF7045T-220MR90-PF</t>
  </si>
  <si>
    <t>16-213/GHC-YR1S1/3T</t>
  </si>
  <si>
    <t>BSC0702LSATMA1</t>
  </si>
  <si>
    <t>RC0603FR-07120RL</t>
  </si>
  <si>
    <t>RC0402FR-071RL</t>
  </si>
  <si>
    <t>RC0402FR-07100RL</t>
  </si>
  <si>
    <t>RC0402FR-07100KL</t>
  </si>
  <si>
    <t>AR03BTCX4301</t>
  </si>
  <si>
    <t>PA2512FKF7T0R002E</t>
  </si>
  <si>
    <t>RT0603DRD07200KL</t>
  </si>
  <si>
    <t>CRCW08054K70FKEAHP</t>
  </si>
  <si>
    <t>RC0603JR-070RL</t>
  </si>
  <si>
    <t>TS-1185EC-C-D-B</t>
  </si>
  <si>
    <t>PAC5527QMST</t>
  </si>
  <si>
    <t>MA702GQ-Z</t>
  </si>
  <si>
    <t>MAX3051EKA+T</t>
  </si>
  <si>
    <t>AZ1117CH-3.3TRG1</t>
  </si>
  <si>
    <t>Manufacturer</t>
  </si>
  <si>
    <t>Nichicon</t>
  </si>
  <si>
    <t>Murata</t>
  </si>
  <si>
    <t>Taiyo Yuden</t>
  </si>
  <si>
    <t>Samsung</t>
  </si>
  <si>
    <t>Yageo</t>
  </si>
  <si>
    <t>Wurth Electronics</t>
  </si>
  <si>
    <t>Diodes</t>
  </si>
  <si>
    <t>Ckmtw</t>
  </si>
  <si>
    <t>TDK</t>
  </si>
  <si>
    <t>Everlight Elec</t>
  </si>
  <si>
    <t>Infineon</t>
  </si>
  <si>
    <t>TE Connectivity</t>
  </si>
  <si>
    <t>Viking Tech</t>
  </si>
  <si>
    <t>Panasonic</t>
  </si>
  <si>
    <t>Vishay</t>
  </si>
  <si>
    <t>XKB</t>
  </si>
  <si>
    <t>Qorvo</t>
  </si>
  <si>
    <t>Monolithic Power Systems</t>
  </si>
  <si>
    <t>Maxim</t>
  </si>
  <si>
    <t>Diodes Incorporated</t>
  </si>
  <si>
    <t>LCSC Part Number</t>
  </si>
  <si>
    <t>C116211</t>
  </si>
  <si>
    <t>C162178</t>
  </si>
  <si>
    <t>C385032</t>
  </si>
  <si>
    <t>C412302</t>
  </si>
  <si>
    <t>C602037</t>
  </si>
  <si>
    <t>C105174</t>
  </si>
  <si>
    <t>C162420</t>
  </si>
  <si>
    <t>C107028</t>
  </si>
  <si>
    <t>C962143</t>
  </si>
  <si>
    <t>C60580</t>
  </si>
  <si>
    <t>C124378</t>
  </si>
  <si>
    <t>C124376</t>
  </si>
  <si>
    <t>C13754</t>
  </si>
  <si>
    <t>C74338</t>
  </si>
  <si>
    <t>C501503</t>
  </si>
  <si>
    <t>C114640</t>
  </si>
  <si>
    <t>C106232</t>
  </si>
  <si>
    <t>C60491</t>
  </si>
  <si>
    <t>C2828647</t>
  </si>
  <si>
    <t>C728320</t>
  </si>
  <si>
    <t>C313926</t>
  </si>
  <si>
    <t>C318893</t>
  </si>
  <si>
    <t>C112005</t>
  </si>
  <si>
    <t>C92102</t>
  </si>
  <si>
    <t>220uF</t>
  </si>
  <si>
    <t>0.1uF</t>
  </si>
  <si>
    <t>2.2uF</t>
  </si>
  <si>
    <t>4.7uF</t>
  </si>
  <si>
    <t>22uF</t>
  </si>
  <si>
    <t>1uF</t>
  </si>
  <si>
    <t>3.3nF</t>
  </si>
  <si>
    <t>1000pF</t>
  </si>
  <si>
    <t>10uF</t>
  </si>
  <si>
    <t>22uH</t>
  </si>
  <si>
    <t>Green</t>
  </si>
  <si>
    <t>100K</t>
  </si>
  <si>
    <t>120R</t>
  </si>
  <si>
    <t>1R</t>
  </si>
  <si>
    <t>100R</t>
  </si>
  <si>
    <t>4.3k</t>
  </si>
  <si>
    <t>2m</t>
  </si>
  <si>
    <t>200K</t>
  </si>
  <si>
    <t>1K</t>
  </si>
  <si>
    <t>4.7k</t>
  </si>
  <si>
    <t>0R</t>
  </si>
  <si>
    <t>Bill of Materials for Project [Breakout_Board_PAC5527]</t>
  </si>
  <si>
    <t>Breakout_Board_PAC5527</t>
  </si>
  <si>
    <t>Diode</t>
  </si>
  <si>
    <t>CONN HEADER VERT 4POS 2.5MM</t>
  </si>
  <si>
    <t>CONN HEADER VERT 3POS 2.5MM</t>
  </si>
  <si>
    <t>Inductor Power Shielded Wirewound 22uH 20% 100KHz Ferrite 1.34A 73.2mOhm DCR T/R</t>
  </si>
  <si>
    <t>Custom</t>
  </si>
  <si>
    <t>LED</t>
  </si>
  <si>
    <t>Through Hole Pad</t>
  </si>
  <si>
    <t>3mm</t>
  </si>
  <si>
    <t>-</t>
  </si>
  <si>
    <t>Test Point</t>
  </si>
  <si>
    <t>Res0402</t>
  </si>
  <si>
    <t>Switch</t>
  </si>
  <si>
    <t>Digital Contactless Angle Sensor with ABZ Incremental &amp; PWM Outputs 3.3V 12-Bit 16-Pin QFN T/R</t>
  </si>
  <si>
    <t>16-QFN (3x3)</t>
  </si>
  <si>
    <t>Value</t>
  </si>
  <si>
    <t>Quantity</t>
  </si>
  <si>
    <t xml:space="preserve"> Quantity (10 Boards)</t>
  </si>
  <si>
    <t xml:space="preserve"> MOQ (10 Boards)</t>
  </si>
  <si>
    <t>C527013</t>
  </si>
  <si>
    <t>C492405</t>
  </si>
  <si>
    <t>C492401</t>
  </si>
  <si>
    <t>C144628</t>
  </si>
  <si>
    <t>C137904</t>
  </si>
  <si>
    <t>C105574</t>
  </si>
  <si>
    <t>C2935237</t>
  </si>
  <si>
    <t>C95177</t>
  </si>
  <si>
    <t>CC0402KRX7R0BB102</t>
  </si>
  <si>
    <t>PZ254V-11-06P</t>
  </si>
  <si>
    <t>PZ254V-11-02P</t>
  </si>
  <si>
    <t>AC0603JR-07100KL</t>
  </si>
  <si>
    <t>RC0402FR-071KL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</si>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</sst>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3" borderId="20" xfId="0" quotePrefix="1" applyFont="1" applyFill="1" applyBorder="1" applyAlignment="1">
      <alignment vertical="center"/>
    </xf>
    <xf numFmtId="0" fontId="16" fillId="4" borderId="20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19942</xdr:rowOff>
    </xdr:from>
    <xdr:to>
      <xdr:col>13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brand-detail/99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7"/>
  <sheetViews>
    <sheetView tabSelected="1" workbookViewId="0">
      <selection activeCell="F16" sqref="F1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19.28515625" bestFit="1" customWidth="1"/>
    <col min="6" max="6" width="26.5703125" bestFit="1" customWidth="1"/>
    <col min="7" max="7" width="25.28515625" bestFit="1" customWidth="1"/>
    <col min="8" max="8" width="17.28515625" bestFit="1" customWidth="1"/>
    <col min="9" max="9" width="17" bestFit="1" customWidth="1"/>
    <col min="10" max="10" width="6.28515625" bestFit="1" customWidth="1"/>
    <col min="11" max="11" width="8.7109375" bestFit="1" customWidth="1"/>
    <col min="12" max="12" width="19.7109375" bestFit="1" customWidth="1"/>
    <col min="13" max="13" width="16.5703125" bestFit="1" customWidth="1"/>
    <col min="14" max="14" width="29.42578125" customWidth="1"/>
  </cols>
  <sheetData>
    <row r="1" spans="1:14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7"/>
      <c r="K1" s="57"/>
      <c r="L1" s="57"/>
      <c r="M1" s="57"/>
      <c r="N1" s="57"/>
    </row>
    <row r="2" spans="1:14" ht="32.25" thickBot="1" x14ac:dyDescent="0.3">
      <c r="A2" s="1"/>
      <c r="B2" s="20"/>
      <c r="C2" s="46"/>
      <c r="D2" s="10" t="s">
        <v>0</v>
      </c>
      <c r="E2" s="10"/>
      <c r="F2" s="60" t="s">
        <v>199</v>
      </c>
      <c r="G2" s="11"/>
      <c r="H2" s="3"/>
      <c r="I2" s="3"/>
      <c r="J2" s="3"/>
      <c r="K2" s="3"/>
      <c r="L2" s="3"/>
      <c r="M2" s="3"/>
      <c r="N2" s="43"/>
    </row>
    <row r="3" spans="1:14" x14ac:dyDescent="0.25">
      <c r="A3" s="1"/>
      <c r="B3" s="21"/>
      <c r="C3" s="47"/>
      <c r="D3" s="12" t="s">
        <v>1</v>
      </c>
      <c r="E3" s="12"/>
      <c r="F3" s="54" t="s">
        <v>200</v>
      </c>
      <c r="G3" s="12"/>
      <c r="H3" s="4"/>
      <c r="I3" s="4"/>
      <c r="J3" s="4"/>
      <c r="K3" s="4"/>
      <c r="L3" s="4"/>
      <c r="M3" s="4"/>
      <c r="N3" s="58"/>
    </row>
    <row r="4" spans="1:14" x14ac:dyDescent="0.25">
      <c r="A4" s="1"/>
      <c r="B4" s="21"/>
      <c r="C4" s="47"/>
      <c r="D4" s="12" t="s">
        <v>2</v>
      </c>
      <c r="E4" s="12"/>
      <c r="F4" s="55" t="s">
        <v>200</v>
      </c>
      <c r="G4" s="13"/>
      <c r="H4" s="6"/>
      <c r="I4" s="6"/>
      <c r="J4" s="6"/>
      <c r="K4" s="6"/>
      <c r="L4" s="6"/>
      <c r="M4" s="6"/>
      <c r="N4" s="59"/>
    </row>
    <row r="5" spans="1:14" x14ac:dyDescent="0.25">
      <c r="A5" s="1"/>
      <c r="B5" s="21"/>
      <c r="C5" s="47"/>
      <c r="D5" s="12" t="s">
        <v>3</v>
      </c>
      <c r="E5" s="12"/>
      <c r="F5" s="56" t="s">
        <v>5</v>
      </c>
      <c r="G5" s="14"/>
      <c r="H5" s="5"/>
      <c r="I5" s="5"/>
      <c r="J5" s="5"/>
      <c r="K5" s="5"/>
      <c r="L5" s="5"/>
      <c r="M5" s="5"/>
      <c r="N5" s="59"/>
    </row>
    <row r="6" spans="1:14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5"/>
      <c r="M6" s="5"/>
      <c r="N6" s="59"/>
    </row>
    <row r="7" spans="1:14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7"/>
      <c r="M7" s="7"/>
      <c r="N7" s="59"/>
    </row>
    <row r="8" spans="1:14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7"/>
      <c r="M8" s="7"/>
      <c r="N8" s="59"/>
    </row>
    <row r="9" spans="1:14" ht="15.75" thickBot="1" x14ac:dyDescent="0.3">
      <c r="A9" s="1"/>
      <c r="B9" s="29" t="s">
        <v>4</v>
      </c>
      <c r="C9" s="29" t="s">
        <v>6</v>
      </c>
      <c r="D9" s="31" t="s">
        <v>13</v>
      </c>
      <c r="E9" s="61" t="s">
        <v>50</v>
      </c>
      <c r="F9" s="29" t="s">
        <v>82</v>
      </c>
      <c r="G9" s="30" t="s">
        <v>102</v>
      </c>
      <c r="H9" s="29" t="s">
        <v>132</v>
      </c>
      <c r="I9" s="30" t="s">
        <v>153</v>
      </c>
      <c r="J9" s="29" t="s">
        <v>215</v>
      </c>
      <c r="K9" s="61" t="s">
        <v>216</v>
      </c>
      <c r="L9" s="29" t="s">
        <v>217</v>
      </c>
      <c r="M9" s="31" t="s">
        <v>218</v>
      </c>
      <c r="N9" s="31" t="s">
        <v>232</v>
      </c>
    </row>
    <row r="10" spans="1:14" ht="24.75" thickBot="1" x14ac:dyDescent="0.3">
      <c r="A10" s="1"/>
      <c r="B10" s="53">
        <f>ROW(B10) - ROW($B$9)</f>
        <v>1</v>
      </c>
      <c r="C10" s="62" t="s">
        <v>7</v>
      </c>
      <c r="D10" s="63" t="s">
        <v>14</v>
      </c>
      <c r="E10" s="64" t="s">
        <v>51</v>
      </c>
      <c r="F10" s="65" t="s">
        <v>83</v>
      </c>
      <c r="G10" s="38" t="s">
        <v>103</v>
      </c>
      <c r="H10" s="37" t="s">
        <v>133</v>
      </c>
      <c r="I10" s="37" t="s">
        <v>154</v>
      </c>
      <c r="J10" s="38" t="s">
        <v>178</v>
      </c>
      <c r="K10" s="65">
        <v>2</v>
      </c>
      <c r="L10" s="79">
        <f>K10*10</f>
        <v>20</v>
      </c>
      <c r="M10" s="80">
        <v>25</v>
      </c>
      <c r="N10" s="41"/>
    </row>
    <row r="11" spans="1:14" ht="24.75" thickBot="1" x14ac:dyDescent="0.3">
      <c r="A11" s="1"/>
      <c r="B11" s="53">
        <f t="shared" ref="B11:B45" si="0">ROW(B11) - ROW($B$9)</f>
        <v>2</v>
      </c>
      <c r="C11" s="66" t="s">
        <v>7</v>
      </c>
      <c r="D11" s="67" t="s">
        <v>15</v>
      </c>
      <c r="E11" s="39" t="s">
        <v>52</v>
      </c>
      <c r="F11" s="39" t="s">
        <v>84</v>
      </c>
      <c r="G11" s="39" t="s">
        <v>104</v>
      </c>
      <c r="H11" s="39" t="s">
        <v>134</v>
      </c>
      <c r="I11" s="39" t="s">
        <v>155</v>
      </c>
      <c r="J11" s="39" t="s">
        <v>179</v>
      </c>
      <c r="K11" s="39">
        <v>3</v>
      </c>
      <c r="L11" s="39">
        <f t="shared" ref="L11:L45" si="1">K11*10</f>
        <v>30</v>
      </c>
      <c r="M11" s="42">
        <v>50</v>
      </c>
      <c r="N11" s="42"/>
    </row>
    <row r="12" spans="1:14" ht="24.75" thickBot="1" x14ac:dyDescent="0.3">
      <c r="A12" s="1"/>
      <c r="B12" s="53">
        <f>ROW(B12) - ROW($B$9)</f>
        <v>3</v>
      </c>
      <c r="C12" s="62" t="s">
        <v>7</v>
      </c>
      <c r="D12" s="63" t="s">
        <v>16</v>
      </c>
      <c r="E12" s="37" t="s">
        <v>53</v>
      </c>
      <c r="F12" s="37" t="s">
        <v>84</v>
      </c>
      <c r="G12" s="37" t="s">
        <v>105</v>
      </c>
      <c r="H12" s="37" t="s">
        <v>134</v>
      </c>
      <c r="I12" s="37" t="s">
        <v>156</v>
      </c>
      <c r="J12" s="37" t="s">
        <v>180</v>
      </c>
      <c r="K12" s="37">
        <v>4</v>
      </c>
      <c r="L12" s="39">
        <f t="shared" si="1"/>
        <v>40</v>
      </c>
      <c r="M12" s="41">
        <v>60</v>
      </c>
      <c r="N12" s="41"/>
    </row>
    <row r="13" spans="1:14" ht="15.75" thickBot="1" x14ac:dyDescent="0.3">
      <c r="A13" s="1"/>
      <c r="B13" s="53">
        <f t="shared" si="0"/>
        <v>4</v>
      </c>
      <c r="C13" s="66" t="s">
        <v>7</v>
      </c>
      <c r="D13" s="67" t="s">
        <v>17</v>
      </c>
      <c r="E13" s="39" t="s">
        <v>54</v>
      </c>
      <c r="F13" s="39" t="s">
        <v>84</v>
      </c>
      <c r="G13" s="39" t="s">
        <v>106</v>
      </c>
      <c r="H13" s="39" t="s">
        <v>135</v>
      </c>
      <c r="I13" s="39" t="s">
        <v>157</v>
      </c>
      <c r="J13" s="39" t="s">
        <v>181</v>
      </c>
      <c r="K13" s="39">
        <v>1</v>
      </c>
      <c r="L13" s="39">
        <f t="shared" si="1"/>
        <v>10</v>
      </c>
      <c r="M13" s="42">
        <v>50</v>
      </c>
      <c r="N13" s="42"/>
    </row>
    <row r="14" spans="1:14" ht="24.75" thickBot="1" x14ac:dyDescent="0.3">
      <c r="A14" s="1"/>
      <c r="B14" s="53">
        <f>ROW(B14) - ROW($B$9)</f>
        <v>5</v>
      </c>
      <c r="C14" s="62" t="s">
        <v>7</v>
      </c>
      <c r="D14" s="63" t="s">
        <v>18</v>
      </c>
      <c r="E14" s="64" t="s">
        <v>55</v>
      </c>
      <c r="F14" s="37" t="s">
        <v>85</v>
      </c>
      <c r="G14" s="38" t="s">
        <v>107</v>
      </c>
      <c r="H14" s="37" t="s">
        <v>136</v>
      </c>
      <c r="I14" s="37" t="s">
        <v>158</v>
      </c>
      <c r="J14" s="38" t="s">
        <v>182</v>
      </c>
      <c r="K14" s="39">
        <v>1</v>
      </c>
      <c r="L14" s="39">
        <f t="shared" si="1"/>
        <v>10</v>
      </c>
      <c r="M14" s="41">
        <v>20</v>
      </c>
      <c r="N14" s="41"/>
    </row>
    <row r="15" spans="1:14" ht="24.75" thickBot="1" x14ac:dyDescent="0.3">
      <c r="A15" s="1"/>
      <c r="B15" s="53">
        <f t="shared" si="0"/>
        <v>6</v>
      </c>
      <c r="C15" s="66" t="s">
        <v>7</v>
      </c>
      <c r="D15" s="67" t="s">
        <v>19</v>
      </c>
      <c r="E15" s="68" t="s">
        <v>56</v>
      </c>
      <c r="F15" s="39" t="s">
        <v>86</v>
      </c>
      <c r="G15" s="40" t="s">
        <v>108</v>
      </c>
      <c r="H15" s="39" t="s">
        <v>135</v>
      </c>
      <c r="I15" s="39" t="s">
        <v>159</v>
      </c>
      <c r="J15" s="40" t="s">
        <v>183</v>
      </c>
      <c r="K15" s="39">
        <v>2</v>
      </c>
      <c r="L15" s="39">
        <f t="shared" si="1"/>
        <v>20</v>
      </c>
      <c r="M15" s="42">
        <v>40</v>
      </c>
      <c r="N15" s="42"/>
    </row>
    <row r="16" spans="1:14" ht="24.75" thickBot="1" x14ac:dyDescent="0.3">
      <c r="A16" s="1"/>
      <c r="B16" s="53">
        <f>ROW(B16) - ROW($B$9)</f>
        <v>7</v>
      </c>
      <c r="C16" s="62" t="s">
        <v>7</v>
      </c>
      <c r="D16" s="63" t="s">
        <v>20</v>
      </c>
      <c r="E16" s="37" t="s">
        <v>57</v>
      </c>
      <c r="F16" s="37" t="s">
        <v>85</v>
      </c>
      <c r="G16" s="37" t="s">
        <v>109</v>
      </c>
      <c r="H16" s="37" t="s">
        <v>134</v>
      </c>
      <c r="I16" s="37" t="s">
        <v>160</v>
      </c>
      <c r="J16" s="37" t="s">
        <v>181</v>
      </c>
      <c r="K16" s="37">
        <v>3</v>
      </c>
      <c r="L16" s="39">
        <f t="shared" si="1"/>
        <v>30</v>
      </c>
      <c r="M16" s="41">
        <v>40</v>
      </c>
      <c r="N16" s="41"/>
    </row>
    <row r="17" spans="1:14" ht="24.75" thickBot="1" x14ac:dyDescent="0.3">
      <c r="A17" s="1"/>
      <c r="B17" s="69">
        <f t="shared" si="0"/>
        <v>8</v>
      </c>
      <c r="C17" s="66" t="s">
        <v>7</v>
      </c>
      <c r="D17" s="67" t="s">
        <v>21</v>
      </c>
      <c r="E17" s="39" t="s">
        <v>58</v>
      </c>
      <c r="F17" s="39" t="s">
        <v>84</v>
      </c>
      <c r="G17" s="39" t="s">
        <v>110</v>
      </c>
      <c r="H17" s="39" t="s">
        <v>137</v>
      </c>
      <c r="I17" s="39" t="s">
        <v>161</v>
      </c>
      <c r="J17" s="39" t="s">
        <v>184</v>
      </c>
      <c r="K17" s="39">
        <v>3</v>
      </c>
      <c r="L17" s="39">
        <f t="shared" si="1"/>
        <v>30</v>
      </c>
      <c r="M17" s="81">
        <v>100</v>
      </c>
      <c r="N17" s="42"/>
    </row>
    <row r="18" spans="1:14" ht="24.75" thickBot="1" x14ac:dyDescent="0.3">
      <c r="A18" s="1"/>
      <c r="B18" s="53">
        <f>ROW(B18) - ROW($B$9)</f>
        <v>9</v>
      </c>
      <c r="C18" s="62" t="s">
        <v>7</v>
      </c>
      <c r="D18" s="63" t="s">
        <v>22</v>
      </c>
      <c r="E18" s="64" t="s">
        <v>59</v>
      </c>
      <c r="F18" s="37" t="s">
        <v>84</v>
      </c>
      <c r="G18" s="38" t="s">
        <v>227</v>
      </c>
      <c r="H18" s="37" t="s">
        <v>138</v>
      </c>
      <c r="I18" s="37" t="s">
        <v>219</v>
      </c>
      <c r="J18" s="38" t="s">
        <v>185</v>
      </c>
      <c r="K18" s="39">
        <v>3</v>
      </c>
      <c r="L18" s="39">
        <f t="shared" si="1"/>
        <v>30</v>
      </c>
      <c r="M18" s="41">
        <v>100</v>
      </c>
      <c r="N18" s="41"/>
    </row>
    <row r="19" spans="1:14" ht="24.75" thickBot="1" x14ac:dyDescent="0.3">
      <c r="A19" s="1"/>
      <c r="B19" s="70">
        <f t="shared" ref="B19" si="2">ROW(B19) - ROW($B$9)</f>
        <v>10</v>
      </c>
      <c r="C19" s="62" t="s">
        <v>7</v>
      </c>
      <c r="D19" s="39" t="s">
        <v>23</v>
      </c>
      <c r="E19" s="39" t="s">
        <v>60</v>
      </c>
      <c r="F19" s="39" t="s">
        <v>84</v>
      </c>
      <c r="G19" s="39" t="s">
        <v>111</v>
      </c>
      <c r="H19" s="39" t="s">
        <v>137</v>
      </c>
      <c r="I19" s="39" t="s">
        <v>162</v>
      </c>
      <c r="J19" s="39" t="s">
        <v>186</v>
      </c>
      <c r="K19" s="39">
        <v>2</v>
      </c>
      <c r="L19" s="39">
        <f t="shared" si="1"/>
        <v>20</v>
      </c>
      <c r="M19" s="42">
        <v>40</v>
      </c>
      <c r="N19" s="42"/>
    </row>
    <row r="20" spans="1:14" ht="24.75" thickBot="1" x14ac:dyDescent="0.3">
      <c r="A20" s="1"/>
      <c r="B20" s="69">
        <f t="shared" si="0"/>
        <v>11</v>
      </c>
      <c r="C20" s="62" t="s">
        <v>201</v>
      </c>
      <c r="D20" s="63" t="s">
        <v>24</v>
      </c>
      <c r="E20" s="64" t="s">
        <v>61</v>
      </c>
      <c r="F20" s="37" t="s">
        <v>87</v>
      </c>
      <c r="G20" s="38" t="s">
        <v>112</v>
      </c>
      <c r="H20" s="37" t="s">
        <v>139</v>
      </c>
      <c r="I20" s="37" t="s">
        <v>163</v>
      </c>
      <c r="J20" s="38" t="s">
        <v>209</v>
      </c>
      <c r="K20" s="39">
        <v>3</v>
      </c>
      <c r="L20" s="39">
        <f t="shared" si="1"/>
        <v>30</v>
      </c>
      <c r="M20" s="82">
        <v>40</v>
      </c>
      <c r="N20" s="41"/>
    </row>
    <row r="21" spans="1:14" ht="24.75" thickBot="1" x14ac:dyDescent="0.3">
      <c r="A21" s="1"/>
      <c r="B21" s="53">
        <f t="shared" si="0"/>
        <v>12</v>
      </c>
      <c r="C21" s="66" t="s">
        <v>8</v>
      </c>
      <c r="D21" s="67" t="s">
        <v>25</v>
      </c>
      <c r="E21" s="68" t="s">
        <v>202</v>
      </c>
      <c r="F21" s="71" t="s">
        <v>88</v>
      </c>
      <c r="G21" s="40" t="s">
        <v>113</v>
      </c>
      <c r="H21" s="39" t="s">
        <v>140</v>
      </c>
      <c r="I21" s="39" t="s">
        <v>164</v>
      </c>
      <c r="J21" s="40" t="s">
        <v>209</v>
      </c>
      <c r="K21" s="39">
        <v>1</v>
      </c>
      <c r="L21" s="39">
        <f t="shared" si="1"/>
        <v>10</v>
      </c>
      <c r="M21" s="42">
        <v>20</v>
      </c>
      <c r="N21" s="42"/>
    </row>
    <row r="22" spans="1:14" ht="24.75" thickBot="1" x14ac:dyDescent="0.3">
      <c r="A22" s="1"/>
      <c r="B22" s="53">
        <f t="shared" si="0"/>
        <v>13</v>
      </c>
      <c r="C22" s="62" t="s">
        <v>8</v>
      </c>
      <c r="D22" s="63" t="s">
        <v>26</v>
      </c>
      <c r="E22" s="64" t="s">
        <v>203</v>
      </c>
      <c r="F22" s="72" t="s">
        <v>89</v>
      </c>
      <c r="G22" s="38" t="s">
        <v>114</v>
      </c>
      <c r="H22" s="37" t="s">
        <v>140</v>
      </c>
      <c r="I22" s="37" t="s">
        <v>165</v>
      </c>
      <c r="J22" s="38" t="s">
        <v>209</v>
      </c>
      <c r="K22" s="39">
        <v>1</v>
      </c>
      <c r="L22" s="39">
        <f t="shared" si="1"/>
        <v>10</v>
      </c>
      <c r="M22" s="41">
        <v>20</v>
      </c>
      <c r="N22" s="41"/>
    </row>
    <row r="23" spans="1:14" ht="60.75" thickBot="1" x14ac:dyDescent="0.3">
      <c r="A23" s="1"/>
      <c r="B23" s="53">
        <f t="shared" si="0"/>
        <v>14</v>
      </c>
      <c r="C23" s="66" t="s">
        <v>9</v>
      </c>
      <c r="D23" s="67" t="s">
        <v>27</v>
      </c>
      <c r="E23" s="68" t="s">
        <v>204</v>
      </c>
      <c r="F23" s="39" t="s">
        <v>205</v>
      </c>
      <c r="G23" s="40" t="s">
        <v>115</v>
      </c>
      <c r="H23" s="39" t="s">
        <v>141</v>
      </c>
      <c r="I23" s="39" t="s">
        <v>166</v>
      </c>
      <c r="J23" s="40" t="s">
        <v>187</v>
      </c>
      <c r="K23" s="39">
        <v>1</v>
      </c>
      <c r="L23" s="39">
        <f t="shared" si="1"/>
        <v>10</v>
      </c>
      <c r="M23" s="42">
        <v>15</v>
      </c>
      <c r="N23" s="42"/>
    </row>
    <row r="24" spans="1:14" ht="36.75" thickBot="1" x14ac:dyDescent="0.3">
      <c r="A24" s="1"/>
      <c r="B24" s="53">
        <f t="shared" si="0"/>
        <v>15</v>
      </c>
      <c r="C24" s="62" t="s">
        <v>206</v>
      </c>
      <c r="D24" s="63" t="s">
        <v>28</v>
      </c>
      <c r="E24" s="64" t="s">
        <v>62</v>
      </c>
      <c r="F24" s="37" t="s">
        <v>90</v>
      </c>
      <c r="G24" s="38" t="s">
        <v>116</v>
      </c>
      <c r="H24" s="37" t="s">
        <v>142</v>
      </c>
      <c r="I24" s="37" t="s">
        <v>167</v>
      </c>
      <c r="J24" s="38" t="s">
        <v>188</v>
      </c>
      <c r="K24" s="39">
        <v>2</v>
      </c>
      <c r="L24" s="39">
        <f t="shared" si="1"/>
        <v>20</v>
      </c>
      <c r="M24" s="41">
        <v>30</v>
      </c>
      <c r="N24" s="41"/>
    </row>
    <row r="25" spans="1:14" ht="15.75" thickBot="1" x14ac:dyDescent="0.3">
      <c r="A25" s="1"/>
      <c r="B25" s="53">
        <f t="shared" si="0"/>
        <v>16</v>
      </c>
      <c r="C25" s="73" t="s">
        <v>207</v>
      </c>
      <c r="D25" s="74" t="s">
        <v>29</v>
      </c>
      <c r="E25" s="75" t="s">
        <v>208</v>
      </c>
      <c r="F25" s="76" t="s">
        <v>205</v>
      </c>
      <c r="G25" s="74" t="s">
        <v>209</v>
      </c>
      <c r="H25" s="76" t="s">
        <v>209</v>
      </c>
      <c r="I25" s="76" t="s">
        <v>209</v>
      </c>
      <c r="J25" s="74"/>
      <c r="K25" s="76">
        <v>5</v>
      </c>
      <c r="L25" s="39">
        <f t="shared" si="1"/>
        <v>50</v>
      </c>
      <c r="M25" s="83" t="s">
        <v>209</v>
      </c>
      <c r="N25" s="42"/>
    </row>
    <row r="26" spans="1:14" ht="24.75" thickBot="1" x14ac:dyDescent="0.3">
      <c r="A26" s="1"/>
      <c r="B26" s="53">
        <f t="shared" si="0"/>
        <v>17</v>
      </c>
      <c r="C26" s="62" t="s">
        <v>8</v>
      </c>
      <c r="D26" s="63" t="s">
        <v>30</v>
      </c>
      <c r="E26" s="64" t="s">
        <v>63</v>
      </c>
      <c r="F26" s="37" t="s">
        <v>91</v>
      </c>
      <c r="G26" s="38" t="s">
        <v>228</v>
      </c>
      <c r="H26" s="37" t="s">
        <v>138</v>
      </c>
      <c r="I26" s="37" t="s">
        <v>220</v>
      </c>
      <c r="J26" s="38" t="s">
        <v>209</v>
      </c>
      <c r="K26" s="39">
        <v>1</v>
      </c>
      <c r="L26" s="39">
        <f t="shared" si="1"/>
        <v>10</v>
      </c>
      <c r="M26" s="41">
        <v>20</v>
      </c>
      <c r="N26" s="41"/>
    </row>
    <row r="27" spans="1:14" ht="15.75" thickBot="1" x14ac:dyDescent="0.3">
      <c r="A27" s="1"/>
      <c r="B27" s="53">
        <f t="shared" si="0"/>
        <v>18</v>
      </c>
      <c r="C27" s="73" t="s">
        <v>210</v>
      </c>
      <c r="D27" s="74" t="s">
        <v>31</v>
      </c>
      <c r="E27" s="75" t="s">
        <v>64</v>
      </c>
      <c r="F27" s="76" t="s">
        <v>205</v>
      </c>
      <c r="G27" s="74" t="s">
        <v>209</v>
      </c>
      <c r="H27" s="76" t="s">
        <v>209</v>
      </c>
      <c r="I27" s="76" t="s">
        <v>209</v>
      </c>
      <c r="J27" s="74"/>
      <c r="K27" s="76">
        <v>10</v>
      </c>
      <c r="L27" s="39">
        <f t="shared" si="1"/>
        <v>100</v>
      </c>
      <c r="M27" s="83" t="s">
        <v>209</v>
      </c>
      <c r="N27" s="42"/>
    </row>
    <row r="28" spans="1:14" ht="24.75" thickBot="1" x14ac:dyDescent="0.3">
      <c r="A28" s="1"/>
      <c r="B28" s="53">
        <f t="shared" si="0"/>
        <v>19</v>
      </c>
      <c r="C28" s="62" t="s">
        <v>8</v>
      </c>
      <c r="D28" s="63" t="s">
        <v>32</v>
      </c>
      <c r="E28" s="64" t="s">
        <v>65</v>
      </c>
      <c r="F28" s="37" t="s">
        <v>92</v>
      </c>
      <c r="G28" s="38" t="s">
        <v>229</v>
      </c>
      <c r="H28" s="37" t="s">
        <v>138</v>
      </c>
      <c r="I28" s="37" t="s">
        <v>221</v>
      </c>
      <c r="J28" s="38" t="s">
        <v>209</v>
      </c>
      <c r="K28" s="39">
        <v>1</v>
      </c>
      <c r="L28" s="39">
        <f t="shared" si="1"/>
        <v>10</v>
      </c>
      <c r="M28" s="41">
        <v>50</v>
      </c>
      <c r="N28" s="41"/>
    </row>
    <row r="29" spans="1:14" ht="24.75" thickBot="1" x14ac:dyDescent="0.3">
      <c r="A29" s="1"/>
      <c r="B29" s="53">
        <f t="shared" si="0"/>
        <v>20</v>
      </c>
      <c r="C29" s="66" t="s">
        <v>10</v>
      </c>
      <c r="D29" s="67" t="s">
        <v>33</v>
      </c>
      <c r="E29" s="39" t="s">
        <v>66</v>
      </c>
      <c r="F29" s="39" t="s">
        <v>93</v>
      </c>
      <c r="G29" s="39" t="s">
        <v>117</v>
      </c>
      <c r="H29" s="39" t="s">
        <v>143</v>
      </c>
      <c r="I29" s="39" t="s">
        <v>168</v>
      </c>
      <c r="J29" s="40" t="s">
        <v>209</v>
      </c>
      <c r="K29" s="39">
        <v>6</v>
      </c>
      <c r="L29" s="39">
        <f t="shared" si="1"/>
        <v>60</v>
      </c>
      <c r="M29" s="42">
        <v>62</v>
      </c>
      <c r="N29" s="42"/>
    </row>
    <row r="30" spans="1:14" ht="24.75" thickBot="1" x14ac:dyDescent="0.3">
      <c r="A30" s="1"/>
      <c r="B30" s="53">
        <f t="shared" si="0"/>
        <v>21</v>
      </c>
      <c r="C30" s="62" t="s">
        <v>11</v>
      </c>
      <c r="D30" s="63" t="s">
        <v>34</v>
      </c>
      <c r="E30" s="64" t="s">
        <v>67</v>
      </c>
      <c r="F30" s="37" t="s">
        <v>94</v>
      </c>
      <c r="G30" s="38" t="s">
        <v>230</v>
      </c>
      <c r="H30" s="37" t="s">
        <v>144</v>
      </c>
      <c r="I30" s="37" t="s">
        <v>222</v>
      </c>
      <c r="J30" s="38" t="s">
        <v>189</v>
      </c>
      <c r="K30" s="39">
        <v>1</v>
      </c>
      <c r="L30" s="39">
        <f t="shared" si="1"/>
        <v>10</v>
      </c>
      <c r="M30" s="41">
        <v>100</v>
      </c>
      <c r="N30" s="41"/>
    </row>
    <row r="31" spans="1:14" ht="24.75" thickBot="1" x14ac:dyDescent="0.3">
      <c r="A31" s="1"/>
      <c r="B31" s="53">
        <f t="shared" si="0"/>
        <v>22</v>
      </c>
      <c r="C31" s="66" t="s">
        <v>11</v>
      </c>
      <c r="D31" s="67" t="s">
        <v>35</v>
      </c>
      <c r="E31" s="68" t="s">
        <v>68</v>
      </c>
      <c r="F31" s="39" t="s">
        <v>95</v>
      </c>
      <c r="G31" s="40" t="s">
        <v>118</v>
      </c>
      <c r="H31" s="39" t="s">
        <v>137</v>
      </c>
      <c r="I31" s="39" t="s">
        <v>169</v>
      </c>
      <c r="J31" s="40" t="s">
        <v>190</v>
      </c>
      <c r="K31" s="39">
        <v>1</v>
      </c>
      <c r="L31" s="39">
        <f t="shared" si="1"/>
        <v>10</v>
      </c>
      <c r="M31" s="42">
        <v>100</v>
      </c>
      <c r="N31" s="42"/>
    </row>
    <row r="32" spans="1:14" ht="24.75" thickBot="1" x14ac:dyDescent="0.3">
      <c r="A32" s="1"/>
      <c r="B32" s="53">
        <f t="shared" si="0"/>
        <v>23</v>
      </c>
      <c r="C32" s="62" t="s">
        <v>11</v>
      </c>
      <c r="D32" s="63" t="s">
        <v>36</v>
      </c>
      <c r="E32" s="64" t="s">
        <v>69</v>
      </c>
      <c r="F32" s="37" t="s">
        <v>96</v>
      </c>
      <c r="G32" s="38" t="s">
        <v>119</v>
      </c>
      <c r="H32" s="37" t="s">
        <v>137</v>
      </c>
      <c r="I32" s="37" t="s">
        <v>223</v>
      </c>
      <c r="J32" s="38" t="s">
        <v>191</v>
      </c>
      <c r="K32" s="39">
        <v>3</v>
      </c>
      <c r="L32" s="39">
        <f t="shared" si="1"/>
        <v>30</v>
      </c>
      <c r="M32" s="41">
        <v>100</v>
      </c>
      <c r="N32" s="41"/>
    </row>
    <row r="33" spans="1:14" ht="24.75" thickBot="1" x14ac:dyDescent="0.3">
      <c r="A33" s="1"/>
      <c r="B33" s="53">
        <f t="shared" si="0"/>
        <v>24</v>
      </c>
      <c r="C33" s="66" t="s">
        <v>11</v>
      </c>
      <c r="D33" s="67" t="s">
        <v>37</v>
      </c>
      <c r="E33" s="39" t="s">
        <v>70</v>
      </c>
      <c r="F33" s="39" t="s">
        <v>96</v>
      </c>
      <c r="G33" s="39" t="s">
        <v>120</v>
      </c>
      <c r="H33" s="39" t="s">
        <v>137</v>
      </c>
      <c r="I33" s="39" t="s">
        <v>170</v>
      </c>
      <c r="J33" s="39" t="s">
        <v>192</v>
      </c>
      <c r="K33" s="39">
        <v>6</v>
      </c>
      <c r="L33" s="39">
        <f t="shared" si="1"/>
        <v>60</v>
      </c>
      <c r="M33" s="42">
        <v>100</v>
      </c>
      <c r="N33" s="42"/>
    </row>
    <row r="34" spans="1:14" ht="24.75" thickBot="1" x14ac:dyDescent="0.3">
      <c r="A34" s="1"/>
      <c r="B34" s="77">
        <f>ROW(B34) - ROW($B$9)</f>
        <v>25</v>
      </c>
      <c r="C34" s="66" t="s">
        <v>11</v>
      </c>
      <c r="D34" s="37" t="s">
        <v>38</v>
      </c>
      <c r="E34" s="37" t="s">
        <v>71</v>
      </c>
      <c r="F34" s="37" t="s">
        <v>96</v>
      </c>
      <c r="G34" s="37" t="s">
        <v>121</v>
      </c>
      <c r="H34" s="37" t="s">
        <v>137</v>
      </c>
      <c r="I34" s="37" t="s">
        <v>171</v>
      </c>
      <c r="J34" s="37" t="s">
        <v>189</v>
      </c>
      <c r="K34" s="37">
        <v>3</v>
      </c>
      <c r="L34" s="37">
        <f>K34*5</f>
        <v>15</v>
      </c>
      <c r="M34" s="37">
        <v>100</v>
      </c>
      <c r="N34" s="41"/>
    </row>
    <row r="35" spans="1:14" ht="24.75" thickBot="1" x14ac:dyDescent="0.3">
      <c r="A35" s="1"/>
      <c r="B35" s="53">
        <f t="shared" si="0"/>
        <v>26</v>
      </c>
      <c r="C35" s="62" t="s">
        <v>11</v>
      </c>
      <c r="D35" s="63" t="s">
        <v>39</v>
      </c>
      <c r="E35" s="64" t="s">
        <v>72</v>
      </c>
      <c r="F35" s="37" t="s">
        <v>95</v>
      </c>
      <c r="G35" s="38" t="s">
        <v>122</v>
      </c>
      <c r="H35" s="37" t="s">
        <v>145</v>
      </c>
      <c r="I35" s="37" t="s">
        <v>172</v>
      </c>
      <c r="J35" s="38" t="s">
        <v>193</v>
      </c>
      <c r="K35" s="39">
        <v>3</v>
      </c>
      <c r="L35" s="39">
        <f t="shared" si="1"/>
        <v>30</v>
      </c>
      <c r="M35" s="41">
        <v>40</v>
      </c>
      <c r="N35" s="42"/>
    </row>
    <row r="36" spans="1:14" ht="48.75" thickBot="1" x14ac:dyDescent="0.3">
      <c r="A36" s="1"/>
      <c r="B36" s="53">
        <f>ROW(B36) - ROW($B$9)</f>
        <v>27</v>
      </c>
      <c r="C36" s="66" t="s">
        <v>11</v>
      </c>
      <c r="D36" s="71" t="s">
        <v>40</v>
      </c>
      <c r="E36" s="39" t="s">
        <v>73</v>
      </c>
      <c r="F36" s="39" t="s">
        <v>97</v>
      </c>
      <c r="G36" s="39" t="s">
        <v>123</v>
      </c>
      <c r="H36" s="39" t="s">
        <v>137</v>
      </c>
      <c r="I36" s="39" t="s">
        <v>173</v>
      </c>
      <c r="J36" s="39" t="s">
        <v>194</v>
      </c>
      <c r="K36" s="39">
        <v>3</v>
      </c>
      <c r="L36" s="39">
        <f t="shared" si="1"/>
        <v>30</v>
      </c>
      <c r="M36" s="42">
        <v>35</v>
      </c>
      <c r="N36" s="41"/>
    </row>
    <row r="37" spans="1:14" ht="24.75" thickBot="1" x14ac:dyDescent="0.3">
      <c r="A37" s="1"/>
      <c r="B37" s="53">
        <f t="shared" si="0"/>
        <v>28</v>
      </c>
      <c r="C37" s="62" t="s">
        <v>11</v>
      </c>
      <c r="D37" s="63" t="s">
        <v>41</v>
      </c>
      <c r="E37" s="64" t="s">
        <v>74</v>
      </c>
      <c r="F37" s="37" t="s">
        <v>95</v>
      </c>
      <c r="G37" s="38" t="s">
        <v>124</v>
      </c>
      <c r="H37" s="37" t="s">
        <v>137</v>
      </c>
      <c r="I37" s="37" t="s">
        <v>224</v>
      </c>
      <c r="J37" s="38" t="s">
        <v>195</v>
      </c>
      <c r="K37" s="39">
        <v>1</v>
      </c>
      <c r="L37" s="39">
        <f t="shared" si="1"/>
        <v>10</v>
      </c>
      <c r="M37" s="41">
        <v>100</v>
      </c>
      <c r="N37" s="42"/>
    </row>
    <row r="38" spans="1:14" ht="24.75" thickBot="1" x14ac:dyDescent="0.3">
      <c r="A38" s="1"/>
      <c r="B38" s="53">
        <f>ROW(B38) - ROW($B$9)</f>
        <v>29</v>
      </c>
      <c r="C38" s="66" t="s">
        <v>11</v>
      </c>
      <c r="D38" s="67" t="s">
        <v>42</v>
      </c>
      <c r="E38" s="68" t="s">
        <v>75</v>
      </c>
      <c r="F38" s="39" t="s">
        <v>211</v>
      </c>
      <c r="G38" s="40" t="s">
        <v>231</v>
      </c>
      <c r="H38" s="39" t="s">
        <v>146</v>
      </c>
      <c r="I38" s="39" t="s">
        <v>225</v>
      </c>
      <c r="J38" s="40" t="s">
        <v>196</v>
      </c>
      <c r="K38" s="39">
        <v>1</v>
      </c>
      <c r="L38" s="39">
        <f t="shared" si="1"/>
        <v>10</v>
      </c>
      <c r="M38" s="42">
        <v>100</v>
      </c>
      <c r="N38" s="41"/>
    </row>
    <row r="39" spans="1:14" ht="48.75" thickBot="1" x14ac:dyDescent="0.3">
      <c r="A39" s="1"/>
      <c r="B39" s="53">
        <f t="shared" si="0"/>
        <v>30</v>
      </c>
      <c r="C39" s="62" t="s">
        <v>11</v>
      </c>
      <c r="D39" s="63" t="s">
        <v>43</v>
      </c>
      <c r="E39" s="64" t="s">
        <v>76</v>
      </c>
      <c r="F39" s="37" t="s">
        <v>98</v>
      </c>
      <c r="G39" s="38" t="s">
        <v>125</v>
      </c>
      <c r="H39" s="37" t="s">
        <v>147</v>
      </c>
      <c r="I39" s="37" t="s">
        <v>174</v>
      </c>
      <c r="J39" s="38" t="s">
        <v>197</v>
      </c>
      <c r="K39" s="39">
        <v>1</v>
      </c>
      <c r="L39" s="39">
        <f t="shared" si="1"/>
        <v>10</v>
      </c>
      <c r="M39" s="41">
        <v>20</v>
      </c>
      <c r="N39" s="42"/>
    </row>
    <row r="40" spans="1:14" ht="24.75" thickBot="1" x14ac:dyDescent="0.3">
      <c r="A40" s="1"/>
      <c r="B40" s="53">
        <f t="shared" si="0"/>
        <v>31</v>
      </c>
      <c r="C40" s="66" t="s">
        <v>11</v>
      </c>
      <c r="D40" s="67" t="s">
        <v>44</v>
      </c>
      <c r="E40" s="68" t="s">
        <v>77</v>
      </c>
      <c r="F40" s="39" t="s">
        <v>95</v>
      </c>
      <c r="G40" s="40" t="s">
        <v>126</v>
      </c>
      <c r="H40" s="39" t="s">
        <v>137</v>
      </c>
      <c r="I40" s="39" t="s">
        <v>226</v>
      </c>
      <c r="J40" s="40" t="s">
        <v>198</v>
      </c>
      <c r="K40" s="39">
        <v>1</v>
      </c>
      <c r="L40" s="39">
        <f t="shared" si="1"/>
        <v>10</v>
      </c>
      <c r="M40" s="42">
        <v>100</v>
      </c>
      <c r="N40" s="41"/>
    </row>
    <row r="41" spans="1:14" ht="48.75" thickBot="1" x14ac:dyDescent="0.3">
      <c r="A41" s="1"/>
      <c r="B41" s="53">
        <f t="shared" si="0"/>
        <v>32</v>
      </c>
      <c r="C41" s="62" t="s">
        <v>212</v>
      </c>
      <c r="D41" s="63" t="s">
        <v>45</v>
      </c>
      <c r="E41" s="64" t="s">
        <v>78</v>
      </c>
      <c r="F41" s="37" t="s">
        <v>205</v>
      </c>
      <c r="G41" s="38" t="s">
        <v>127</v>
      </c>
      <c r="H41" s="37" t="s">
        <v>148</v>
      </c>
      <c r="I41" s="37" t="s">
        <v>175</v>
      </c>
      <c r="J41" s="38" t="s">
        <v>209</v>
      </c>
      <c r="K41" s="39">
        <v>1</v>
      </c>
      <c r="L41" s="39">
        <f t="shared" si="1"/>
        <v>10</v>
      </c>
      <c r="M41" s="41">
        <v>20</v>
      </c>
      <c r="N41" s="42"/>
    </row>
    <row r="42" spans="1:14" ht="48.75" thickBot="1" x14ac:dyDescent="0.3">
      <c r="A42" s="1"/>
      <c r="B42" s="53">
        <f t="shared" si="0"/>
        <v>33</v>
      </c>
      <c r="C42" s="66" t="s">
        <v>12</v>
      </c>
      <c r="D42" s="67" t="s">
        <v>46</v>
      </c>
      <c r="E42" s="68" t="s">
        <v>79</v>
      </c>
      <c r="F42" s="39" t="s">
        <v>99</v>
      </c>
      <c r="G42" s="40" t="s">
        <v>128</v>
      </c>
      <c r="H42" s="39" t="s">
        <v>149</v>
      </c>
      <c r="I42" s="39" t="s">
        <v>209</v>
      </c>
      <c r="J42" s="40" t="s">
        <v>209</v>
      </c>
      <c r="K42" s="39">
        <v>1</v>
      </c>
      <c r="L42" s="39">
        <f t="shared" si="1"/>
        <v>10</v>
      </c>
      <c r="M42" s="42">
        <v>11</v>
      </c>
      <c r="N42" s="41"/>
    </row>
    <row r="43" spans="1:14" ht="60.75" thickBot="1" x14ac:dyDescent="0.3">
      <c r="A43" s="1"/>
      <c r="B43" s="53">
        <f t="shared" si="0"/>
        <v>34</v>
      </c>
      <c r="C43" s="62" t="s">
        <v>12</v>
      </c>
      <c r="D43" s="63" t="s">
        <v>47</v>
      </c>
      <c r="E43" s="64" t="s">
        <v>213</v>
      </c>
      <c r="F43" s="37" t="s">
        <v>214</v>
      </c>
      <c r="G43" s="38" t="s">
        <v>129</v>
      </c>
      <c r="H43" s="37" t="s">
        <v>150</v>
      </c>
      <c r="I43" s="37" t="s">
        <v>209</v>
      </c>
      <c r="J43" s="38" t="s">
        <v>209</v>
      </c>
      <c r="K43" s="39">
        <v>1</v>
      </c>
      <c r="L43" s="39">
        <f t="shared" si="1"/>
        <v>10</v>
      </c>
      <c r="M43" s="41">
        <v>11</v>
      </c>
      <c r="N43" s="42"/>
    </row>
    <row r="44" spans="1:14" ht="24.75" thickBot="1" x14ac:dyDescent="0.3">
      <c r="A44" s="1"/>
      <c r="B44" s="53">
        <f t="shared" si="0"/>
        <v>35</v>
      </c>
      <c r="C44" s="66" t="s">
        <v>12</v>
      </c>
      <c r="D44" s="67" t="s">
        <v>48</v>
      </c>
      <c r="E44" s="68" t="s">
        <v>80</v>
      </c>
      <c r="F44" s="39" t="s">
        <v>100</v>
      </c>
      <c r="G44" s="40" t="s">
        <v>130</v>
      </c>
      <c r="H44" s="39" t="s">
        <v>151</v>
      </c>
      <c r="I44" s="39" t="s">
        <v>176</v>
      </c>
      <c r="J44" s="40" t="s">
        <v>209</v>
      </c>
      <c r="K44" s="39">
        <v>1</v>
      </c>
      <c r="L44" s="39">
        <f t="shared" si="1"/>
        <v>10</v>
      </c>
      <c r="M44" s="42">
        <v>11</v>
      </c>
      <c r="N44" s="41"/>
    </row>
    <row r="45" spans="1:14" ht="48.75" thickBot="1" x14ac:dyDescent="0.3">
      <c r="A45" s="1"/>
      <c r="B45" s="78">
        <f t="shared" si="0"/>
        <v>36</v>
      </c>
      <c r="C45" s="62" t="s">
        <v>12</v>
      </c>
      <c r="D45" s="63" t="s">
        <v>49</v>
      </c>
      <c r="E45" s="64" t="s">
        <v>81</v>
      </c>
      <c r="F45" s="37" t="s">
        <v>101</v>
      </c>
      <c r="G45" s="38" t="s">
        <v>131</v>
      </c>
      <c r="H45" s="37" t="s">
        <v>152</v>
      </c>
      <c r="I45" s="37" t="s">
        <v>177</v>
      </c>
      <c r="J45" s="38" t="s">
        <v>209</v>
      </c>
      <c r="K45" s="84">
        <v>1</v>
      </c>
      <c r="L45" s="84">
        <f t="shared" si="1"/>
        <v>10</v>
      </c>
      <c r="M45" s="85">
        <v>15</v>
      </c>
      <c r="N45" s="42"/>
    </row>
    <row r="46" spans="1:14" x14ac:dyDescent="0.25">
      <c r="A46" s="1"/>
      <c r="B46" s="32"/>
      <c r="C46" s="51"/>
      <c r="D46" s="33"/>
      <c r="E46" s="34"/>
      <c r="F46" s="35"/>
      <c r="G46" s="36"/>
      <c r="H46" s="35"/>
      <c r="I46" s="35"/>
      <c r="J46" s="36"/>
      <c r="K46" s="36"/>
      <c r="L46" s="36"/>
      <c r="M46" s="36"/>
      <c r="N46" s="44"/>
    </row>
    <row r="47" spans="1:14" ht="15.75" thickBot="1" x14ac:dyDescent="0.3">
      <c r="A47" s="1"/>
      <c r="B47" s="24"/>
      <c r="C47" s="52"/>
      <c r="D47" s="8"/>
      <c r="E47" s="9"/>
      <c r="F47" s="9"/>
      <c r="G47" s="9"/>
      <c r="H47" s="9"/>
      <c r="I47" s="9"/>
      <c r="J47" s="9"/>
      <c r="K47" s="9"/>
      <c r="L47" s="9"/>
      <c r="M47" s="9"/>
      <c r="N47" s="45"/>
    </row>
  </sheetData>
  <mergeCells count="2">
    <mergeCell ref="J1:N1"/>
    <mergeCell ref="N3:N8"/>
  </mergeCells>
  <hyperlinks>
    <hyperlink ref="H10" r:id="rId1" display="https://www.lcsc.com/brand-detail/994.html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2023-02-22T14:38:22Z</dcterms:modified>
</cp:coreProperties>
</file>